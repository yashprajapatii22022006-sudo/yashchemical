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 Build" sheetId="3" state="visible" r:id="rId3"/>
    <sheet xmlns:r="http://schemas.openxmlformats.org/officeDocument/2006/relationships" name="Operating Model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Sensitivity" sheetId="6" state="visible" r:id="rId6"/>
  </sheets>
  <definedNames>
    <definedName name="_xlnm._FilterDatabase" localSheetId="1" hidden="1">'Assumptions'!$A$3:$H$28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₹#,##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b val="1"/>
      <color rgb="0017365D"/>
      <sz val="12"/>
    </font>
    <font>
      <b val="1"/>
      <color rgb="00FFFFFF"/>
    </font>
    <font>
      <i val="1"/>
      <color rgb="00666666"/>
    </font>
    <font>
      <b val="1"/>
      <color rgb="0017365D"/>
    </font>
  </fonts>
  <fills count="7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thin">
        <color rgb="00B7B7B7"/>
      </bottom>
    </border>
    <border>
      <top style="medium">
        <color rgb="0017365D"/>
      </top>
      <bottom style="medium">
        <color rgb="0017365D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3" borderId="0" applyAlignment="1" pivotButton="0" quotePrefix="0" xfId="0">
      <alignment vertical="center" wrapText="1"/>
    </xf>
    <xf numFmtId="165" fontId="0" fillId="4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165" fontId="0" fillId="4" borderId="1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164" fontId="5" fillId="5" borderId="1" applyAlignment="1" pivotButton="0" quotePrefix="0" xfId="0">
      <alignment vertical="center"/>
    </xf>
    <xf numFmtId="165" fontId="5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165" fontId="5" fillId="6" borderId="1" applyAlignment="1" pivotButton="0" quotePrefix="0" xfId="0">
      <alignment vertical="center"/>
    </xf>
    <xf numFmtId="164" fontId="5" fillId="6" borderId="1" applyAlignment="1" pivotButton="0" quotePrefix="0" xfId="0">
      <alignment vertical="center"/>
    </xf>
    <xf numFmtId="164" fontId="3" fillId="3" borderId="0" applyAlignment="1" pivotButton="0" quotePrefix="0" xfId="0">
      <alignment vertical="center"/>
    </xf>
    <xf numFmtId="164" fontId="3" fillId="3" borderId="1" applyAlignment="1" pivotButton="0" quotePrefix="0" xfId="0">
      <alignment vertical="center"/>
    </xf>
    <xf numFmtId="166" fontId="0" fillId="6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Forecast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'Revenue Build'!$B$3:$G$3</f>
            </numRef>
          </cat>
          <val>
            <numRef>
              <f>'Revenue Build'!$B$14:$G$14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EBITDA and FCFF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'Operating Model'!$B$3:$G$3</f>
            </numRef>
          </cat>
          <val>
            <numRef>
              <f>'Operating Model'!$B$14:$G$14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'Operating Model'!$B$3:$G$3</f>
            </numRef>
          </cat>
          <val>
            <numRef>
              <f>'Operating Model'!$B$22:$G$22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B26" authorId="0" shapeId="0">
      <text>
        <t>Reference point: FY26 cash balance reported at approximately ₹17,972 crore. Replace with cash less borrowings and decide separately how to treat lease liabilities.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2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F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5" customWidth="1" min="1" max="1"/>
    <col width="45" customWidth="1" min="2" max="2"/>
  </cols>
  <sheetData>
    <row r="1" ht="30" customHeight="1">
      <c r="A1" s="1" t="inlineStr">
        <is>
          <t>Eternal Limited (formerly Zomato) – Professional Dynamic DCF Model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Purpose</t>
        </is>
      </c>
      <c r="B3" s="2" t="n"/>
      <c r="C3" s="2" t="n"/>
      <c r="D3" s="2" t="n"/>
      <c r="E3" s="2" t="n"/>
      <c r="F3" s="2" t="n"/>
    </row>
    <row r="4">
      <c r="A4" s="2" t="inlineStr">
        <is>
          <t>Five-year unlevered DCF with editable assumptions, operating-driver revenue build, EBITDA bridge, FCFF, WACC, terminal value and valuation sensitivity.</t>
        </is>
      </c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4" t="inlineStr">
        <is>
          <t>How to use</t>
        </is>
      </c>
      <c r="B6" s="2" t="n"/>
      <c r="C6" s="2" t="n"/>
      <c r="D6" s="2" t="n"/>
      <c r="E6" s="2" t="n"/>
      <c r="F6" s="2" t="n"/>
    </row>
    <row r="7">
      <c r="A7" s="5" t="inlineStr">
        <is>
          <t>• Edit only the yellow cells on the Assumptions sheet.</t>
        </is>
      </c>
      <c r="B7" s="2" t="n"/>
      <c r="C7" s="2" t="n"/>
      <c r="D7" s="2" t="n"/>
      <c r="E7" s="2" t="n"/>
      <c r="F7" s="2" t="n"/>
    </row>
    <row r="8">
      <c r="A8" s="5" t="inlineStr">
        <is>
          <t>• Review Revenue Build and Operating Model to understand the operating drivers.</t>
        </is>
      </c>
      <c r="B8" s="2" t="n"/>
      <c r="C8" s="2" t="n"/>
      <c r="D8" s="2" t="n"/>
      <c r="E8" s="2" t="n"/>
      <c r="F8" s="2" t="n"/>
    </row>
    <row r="9">
      <c r="A9" s="5" t="inlineStr">
        <is>
          <t>• DCF calculates FCFF, enterprise value, equity value and DCF value per share.</t>
        </is>
      </c>
      <c r="B9" s="2" t="n"/>
      <c r="C9" s="2" t="n"/>
      <c r="D9" s="2" t="n"/>
      <c r="E9" s="2" t="n"/>
      <c r="F9" s="2" t="n"/>
    </row>
    <row r="10">
      <c r="A10" s="5" t="inlineStr">
        <is>
          <t>• Sensitivity tests WACC and terminal growth.</t>
        </is>
      </c>
      <c r="B10" s="2" t="n"/>
      <c r="C10" s="2" t="n"/>
      <c r="D10" s="2" t="n"/>
      <c r="E10" s="2" t="n"/>
      <c r="F10" s="2" t="n"/>
    </row>
    <row r="11">
      <c r="A11" s="5" t="inlineStr">
        <is>
          <t>• All amounts are ₹ crore except per-share values and percentages.</t>
        </is>
      </c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4" t="inlineStr">
        <is>
          <t>Model architecture</t>
        </is>
      </c>
      <c r="B14" s="2" t="n"/>
      <c r="C14" s="2" t="n"/>
      <c r="D14" s="2" t="n"/>
      <c r="E14" s="2" t="n"/>
      <c r="F14" s="2" t="n"/>
    </row>
    <row r="15">
      <c r="A15" s="5" t="inlineStr">
        <is>
          <t>Assumptions → Revenue Build → Operating Model → DCF → Sensitivity. Yellow cells are hardcoded inputs; blue/white cells are formulas.</t>
        </is>
      </c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4" t="inlineStr">
        <is>
          <t>Important modelling note</t>
        </is>
      </c>
      <c r="B17" s="2" t="n"/>
      <c r="C17" s="2" t="n"/>
      <c r="D17" s="2" t="n"/>
      <c r="E17" s="2" t="n"/>
      <c r="F17" s="2" t="n"/>
    </row>
    <row r="18">
      <c r="A18" s="5" t="inlineStr">
        <is>
          <t>Quick-commerce accounting changed as the business moved toward an inventory-led model. Validate reported revenue, NOV, gross monetisation and segment EBITDA against the latest shareholder letter before using the model for an investment decision.</t>
        </is>
      </c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4" t="inlineStr">
        <is>
          <t>Selected reference points</t>
        </is>
      </c>
      <c r="B20" s="2" t="n"/>
      <c r="C20" s="2" t="n"/>
      <c r="D20" s="2" t="n"/>
      <c r="E20" s="2" t="n"/>
      <c r="F20" s="2" t="n"/>
    </row>
    <row r="21">
      <c r="A21" s="6" t="inlineStr">
        <is>
          <t>Metric</t>
        </is>
      </c>
      <c r="B21" s="6" t="inlineStr">
        <is>
          <t>Reference</t>
        </is>
      </c>
      <c r="C21" s="2" t="n"/>
      <c r="D21" s="2" t="n"/>
      <c r="E21" s="2" t="n"/>
      <c r="F21" s="2" t="n"/>
    </row>
    <row r="22">
      <c r="A22" s="5" t="inlineStr">
        <is>
          <t>FY26 revenue from operations</t>
        </is>
      </c>
      <c r="B22" s="5" t="inlineStr">
        <is>
          <t>₹54,364 crore</t>
        </is>
      </c>
      <c r="C22" s="2" t="n"/>
      <c r="D22" s="2" t="n"/>
      <c r="E22" s="2" t="n"/>
      <c r="F22" s="2" t="n"/>
    </row>
    <row r="23">
      <c r="A23" s="5" t="inlineStr">
        <is>
          <t>FY26 cash balance</t>
        </is>
      </c>
      <c r="B23" s="5" t="inlineStr">
        <is>
          <t>₹17,972 crore</t>
        </is>
      </c>
      <c r="C23" s="2" t="n"/>
      <c r="D23" s="2" t="n"/>
      <c r="E23" s="2" t="n"/>
      <c r="F23" s="2" t="n"/>
    </row>
    <row r="24">
      <c r="A24" s="5" t="inlineStr">
        <is>
          <t>Q4 FY26 food-delivery NOV</t>
        </is>
      </c>
      <c r="B24" s="5" t="inlineStr">
        <is>
          <t>₹9,757 crore; +18.8% YoY</t>
        </is>
      </c>
      <c r="C24" s="2" t="n"/>
      <c r="D24" s="2" t="n"/>
      <c r="E24" s="2" t="n"/>
      <c r="F24" s="2" t="n"/>
    </row>
    <row r="25">
      <c r="A25" s="5" t="inlineStr">
        <is>
          <t>Q4 FY26 quick-commerce NOV</t>
        </is>
      </c>
      <c r="B25" s="5" t="inlineStr">
        <is>
          <t>₹14,386 crore; +95.4% YoY</t>
        </is>
      </c>
      <c r="C25" s="2" t="n"/>
      <c r="D25" s="2" t="n"/>
      <c r="E25" s="2" t="n"/>
      <c r="F25" s="2" t="n"/>
    </row>
    <row r="26">
      <c r="A26" s="5" t="inlineStr">
        <is>
          <t>Q4 FY26 food-delivery adjusted EBITDA margin</t>
        </is>
      </c>
      <c r="B26" s="5" t="inlineStr">
        <is>
          <t>5.5% of NOV</t>
        </is>
      </c>
      <c r="C26" s="2" t="n"/>
      <c r="D26" s="2" t="n"/>
      <c r="E26" s="2" t="n"/>
      <c r="F26" s="2" t="n"/>
    </row>
    <row r="27">
      <c r="A27" s="5" t="inlineStr">
        <is>
          <t>Q4 FY26 Blinkit adjusted EBITDA</t>
        </is>
      </c>
      <c r="B27" s="5" t="inlineStr">
        <is>
          <t>₹37 crore; positive</t>
        </is>
      </c>
      <c r="C27" s="2" t="n"/>
      <c r="D27" s="2" t="n"/>
      <c r="E27" s="2" t="n"/>
      <c r="F27" s="2" t="n"/>
    </row>
  </sheetData>
  <mergeCells count="1">
    <mergeCell ref="A1:F1"/>
  </mergeCells>
  <pageMargins left="0.75" right="0.75" top="1" bottom="1" header="0.5" footer="0.5"/>
  <pageSetup orientation="landscape" fitToHeight="0" fitToWidth="1"/>
  <headerFooter>
    <oddHeader/>
    <oddFooter>&amp;CEternal Limited | Confidential | Illustrative DCF&amp;RPage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H28"/>
  <sheetViews>
    <sheetView showGridLines="0" workbookViewId="0">
      <pane xSplit="1" ySplit="3" topLeftCell="B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58" customWidth="1" min="8" max="8"/>
  </cols>
  <sheetData>
    <row r="1" ht="30" customHeight="1">
      <c r="A1" s="1" t="inlineStr">
        <is>
          <t>Assumptions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7" t="inlineStr">
        <is>
          <t>Operating assumptions</t>
        </is>
      </c>
      <c r="B3" s="7" t="inlineStr">
        <is>
          <t>FY26A / Current</t>
        </is>
      </c>
      <c r="C3" s="7" t="inlineStr">
        <is>
          <t>FY27E</t>
        </is>
      </c>
      <c r="D3" s="7" t="inlineStr">
        <is>
          <t>FY28E</t>
        </is>
      </c>
      <c r="E3" s="7" t="inlineStr">
        <is>
          <t>FY29E</t>
        </is>
      </c>
      <c r="F3" s="7" t="inlineStr">
        <is>
          <t>FY30E</t>
        </is>
      </c>
      <c r="G3" s="7" t="inlineStr">
        <is>
          <t>FY31E</t>
        </is>
      </c>
      <c r="H3" s="7" t="inlineStr">
        <is>
          <t>Logic</t>
        </is>
      </c>
    </row>
    <row r="4">
      <c r="A4" s="2" t="inlineStr">
        <is>
          <t>Food delivery NOV (₹ cr)</t>
        </is>
      </c>
      <c r="B4" s="8" t="n">
        <v>39000</v>
      </c>
      <c r="C4" s="8" t="n">
        <v>46800</v>
      </c>
      <c r="D4" s="8" t="n">
        <v>56160</v>
      </c>
      <c r="E4" s="8" t="n">
        <v>66110</v>
      </c>
      <c r="F4" s="8" t="n">
        <v>77110</v>
      </c>
      <c r="G4" s="8" t="n">
        <v>88680</v>
      </c>
      <c r="H4" s="9" t="inlineStr">
        <is>
          <t>Base NOV × growth</t>
        </is>
      </c>
    </row>
    <row r="5">
      <c r="A5" s="5" t="inlineStr">
        <is>
          <t>Food delivery NOV growth</t>
        </is>
      </c>
      <c r="B5" s="10" t="n"/>
      <c r="C5" s="11" t="n">
        <v>0.2</v>
      </c>
      <c r="D5" s="11" t="n">
        <v>0.2</v>
      </c>
      <c r="E5" s="11" t="n">
        <v>0.177</v>
      </c>
      <c r="F5" s="11" t="n">
        <v>0.166</v>
      </c>
      <c r="G5" s="11" t="n">
        <v>0.15</v>
      </c>
      <c r="H5" s="12" t="inlineStr">
        <is>
          <t>Maturity reduces growth</t>
        </is>
      </c>
    </row>
    <row r="6">
      <c r="A6" s="5" t="inlineStr">
        <is>
          <t>Food delivery take rate</t>
        </is>
      </c>
      <c r="B6" s="11" t="n">
        <v>0.269</v>
      </c>
      <c r="C6" s="11" t="n">
        <v>0.27</v>
      </c>
      <c r="D6" s="11" t="n">
        <v>0.27</v>
      </c>
      <c r="E6" s="11" t="n">
        <v>0.27</v>
      </c>
      <c r="F6" s="11" t="n">
        <v>0.27</v>
      </c>
      <c r="G6" s="11" t="n">
        <v>0.27</v>
      </c>
      <c r="H6" s="12" t="inlineStr">
        <is>
          <t>Commission + platform fee + ads</t>
        </is>
      </c>
    </row>
    <row r="7">
      <c r="A7" s="5" t="inlineStr">
        <is>
          <t>Quick commerce NOV (₹ cr)</t>
        </is>
      </c>
      <c r="B7" s="13" t="n">
        <v>47000</v>
      </c>
      <c r="C7" s="13" t="n">
        <v>75200</v>
      </c>
      <c r="D7" s="13" t="n">
        <v>120320</v>
      </c>
      <c r="E7" s="13" t="n">
        <v>180480</v>
      </c>
      <c r="F7" s="13" t="n">
        <v>252672</v>
      </c>
      <c r="G7" s="13" t="n">
        <v>315840</v>
      </c>
      <c r="H7" s="12" t="inlineStr">
        <is>
          <t>Base NOV × growth</t>
        </is>
      </c>
    </row>
    <row r="8">
      <c r="A8" s="5" t="inlineStr">
        <is>
          <t>Quick commerce NOV growth</t>
        </is>
      </c>
      <c r="B8" s="10" t="n"/>
      <c r="C8" s="11" t="n">
        <v>0.6</v>
      </c>
      <c r="D8" s="11" t="n">
        <v>0.6</v>
      </c>
      <c r="E8" s="11" t="n">
        <v>0.5</v>
      </c>
      <c r="F8" s="11" t="n">
        <v>0.4</v>
      </c>
      <c r="G8" s="11" t="n">
        <v>0.25</v>
      </c>
      <c r="H8" s="12" t="inlineStr">
        <is>
          <t>High growth, then normalisation</t>
        </is>
      </c>
    </row>
    <row r="9">
      <c r="A9" s="5" t="inlineStr">
        <is>
          <t>Quick commerce gross monetisation</t>
        </is>
      </c>
      <c r="B9" s="11" t="n">
        <v>0.28</v>
      </c>
      <c r="C9" s="11" t="n">
        <v>0.28</v>
      </c>
      <c r="D9" s="11" t="n">
        <v>0.285</v>
      </c>
      <c r="E9" s="11" t="n">
        <v>0.29</v>
      </c>
      <c r="F9" s="11" t="n">
        <v>0.29</v>
      </c>
      <c r="G9" s="11" t="n">
        <v>0.29</v>
      </c>
      <c r="H9" s="12" t="inlineStr">
        <is>
          <t>Gross profit + ads + fees as % NOV</t>
        </is>
      </c>
    </row>
    <row r="10">
      <c r="A10" s="5" t="inlineStr">
        <is>
          <t>Other revenue (₹ cr)</t>
        </is>
      </c>
      <c r="B10" s="13" t="n">
        <v>4364</v>
      </c>
      <c r="C10" s="13" t="n">
        <v>4800</v>
      </c>
      <c r="D10" s="13" t="n">
        <v>5280</v>
      </c>
      <c r="E10" s="13" t="n">
        <v>5808</v>
      </c>
      <c r="F10" s="13" t="n">
        <v>6389</v>
      </c>
      <c r="G10" s="13" t="n">
        <v>7028</v>
      </c>
      <c r="H10" s="12" t="inlineStr">
        <is>
          <t>Adjacent businesses</t>
        </is>
      </c>
    </row>
    <row r="11">
      <c r="A11" s="5" t="inlineStr">
        <is>
          <t>Other revenue growth</t>
        </is>
      </c>
      <c r="B11" s="14" t="n"/>
      <c r="C11" s="13" t="n">
        <v>0.1</v>
      </c>
      <c r="D11" s="13" t="n">
        <v>0.1</v>
      </c>
      <c r="E11" s="13" t="n">
        <v>0.1</v>
      </c>
      <c r="F11" s="13" t="n">
        <v>0.1</v>
      </c>
      <c r="G11" s="13" t="n">
        <v>0.1</v>
      </c>
      <c r="H11" s="12" t="inlineStr">
        <is>
          <t>Normalised growth</t>
        </is>
      </c>
    </row>
    <row r="12">
      <c r="A12" s="5" t="inlineStr">
        <is>
          <t>Food delivery EBITDA margin</t>
        </is>
      </c>
      <c r="B12" s="11" t="n">
        <v>0.055</v>
      </c>
      <c r="C12" s="11" t="n">
        <v>0.055</v>
      </c>
      <c r="D12" s="11" t="n">
        <v>0.058</v>
      </c>
      <c r="E12" s="11" t="n">
        <v>0.06</v>
      </c>
      <c r="F12" s="11" t="n">
        <v>0.062</v>
      </c>
      <c r="G12" s="11" t="n">
        <v>0.065</v>
      </c>
      <c r="H12" s="12" t="inlineStr">
        <is>
          <t>Q4 FY26 about 5.5% of NOV</t>
        </is>
      </c>
    </row>
    <row r="13">
      <c r="A13" s="5" t="inlineStr">
        <is>
          <t>Quick commerce EBITDA margin</t>
        </is>
      </c>
      <c r="B13" s="11" t="n">
        <v>0.003</v>
      </c>
      <c r="C13" s="11" t="n">
        <v>0.01</v>
      </c>
      <c r="D13" s="11" t="n">
        <v>0.015</v>
      </c>
      <c r="E13" s="11" t="n">
        <v>0.02</v>
      </c>
      <c r="F13" s="11" t="n">
        <v>0.025</v>
      </c>
      <c r="G13" s="11" t="n">
        <v>0.04</v>
      </c>
      <c r="H13" s="12" t="inlineStr">
        <is>
          <t>Positive but scaling margin</t>
        </is>
      </c>
    </row>
    <row r="14">
      <c r="A14" s="5" t="inlineStr">
        <is>
          <t>Other EBITDA margin</t>
        </is>
      </c>
      <c r="B14" s="11" t="n">
        <v>-0.1</v>
      </c>
      <c r="C14" s="11" t="n">
        <v>-0.1</v>
      </c>
      <c r="D14" s="11" t="n">
        <v>-0.08</v>
      </c>
      <c r="E14" s="11" t="n">
        <v>-0.06</v>
      </c>
      <c r="F14" s="11" t="n">
        <v>-0.04</v>
      </c>
      <c r="G14" s="11" t="n">
        <v>-0.02</v>
      </c>
      <c r="H14" s="12" t="inlineStr">
        <is>
          <t>Losses narrow with scale</t>
        </is>
      </c>
    </row>
    <row r="15">
      <c r="A15" s="5" t="inlineStr">
        <is>
          <t>Corporate / unallocated costs (₹ cr)</t>
        </is>
      </c>
      <c r="B15" s="13" t="n">
        <v>0</v>
      </c>
      <c r="C15" s="13" t="n">
        <v>-200</v>
      </c>
      <c r="D15" s="13" t="n">
        <v>-250</v>
      </c>
      <c r="E15" s="13" t="n">
        <v>-300</v>
      </c>
      <c r="F15" s="13" t="n">
        <v>-350</v>
      </c>
      <c r="G15" s="13" t="n">
        <v>-400</v>
      </c>
      <c r="H15" s="12" t="inlineStr">
        <is>
          <t>Central costs</t>
        </is>
      </c>
    </row>
    <row r="16">
      <c r="A16" s="5" t="inlineStr">
        <is>
          <t>Tax rate</t>
        </is>
      </c>
      <c r="B16" s="13" t="n">
        <v>0.25</v>
      </c>
      <c r="C16" s="13" t="n">
        <v>0.25</v>
      </c>
      <c r="D16" s="13" t="n">
        <v>0.25</v>
      </c>
      <c r="E16" s="13" t="n">
        <v>0.25</v>
      </c>
      <c r="F16" s="13" t="n">
        <v>0.25</v>
      </c>
      <c r="G16" s="13" t="n">
        <v>0.25</v>
      </c>
      <c r="H16" s="12" t="inlineStr">
        <is>
          <t>Long-term effective cash tax</t>
        </is>
      </c>
    </row>
    <row r="17">
      <c r="A17" s="5" t="inlineStr">
        <is>
          <t>D&amp;A as % revenue</t>
        </is>
      </c>
      <c r="B17" s="11" t="n">
        <v>0.029</v>
      </c>
      <c r="C17" s="11" t="n">
        <v>0.03</v>
      </c>
      <c r="D17" s="11" t="n">
        <v>0.03</v>
      </c>
      <c r="E17" s="11" t="n">
        <v>0.03</v>
      </c>
      <c r="F17" s="11" t="n">
        <v>0.03</v>
      </c>
      <c r="G17" s="11" t="n">
        <v>0.035</v>
      </c>
      <c r="H17" s="12" t="inlineStr">
        <is>
          <t>Infrastructure and intangible amortisation</t>
        </is>
      </c>
    </row>
    <row r="18">
      <c r="A18" s="5" t="inlineStr">
        <is>
          <t>Capex as % revenue</t>
        </is>
      </c>
      <c r="B18" s="10" t="n"/>
      <c r="C18" s="11" t="n">
        <v>0.06</v>
      </c>
      <c r="D18" s="11" t="n">
        <v>0.055</v>
      </c>
      <c r="E18" s="11" t="n">
        <v>0.05</v>
      </c>
      <c r="F18" s="11" t="n">
        <v>0.04</v>
      </c>
      <c r="G18" s="11" t="n">
        <v>0.04</v>
      </c>
      <c r="H18" s="12" t="inlineStr">
        <is>
          <t>Dark stores, technology and warehouses</t>
        </is>
      </c>
    </row>
    <row r="19">
      <c r="A19" s="5" t="inlineStr">
        <is>
          <t>Change in NWC as % incremental revenue</t>
        </is>
      </c>
      <c r="B19" s="10" t="n"/>
      <c r="C19" s="11" t="n">
        <v>0.02</v>
      </c>
      <c r="D19" s="11" t="n">
        <v>0.02</v>
      </c>
      <c r="E19" s="11" t="n">
        <v>0.02</v>
      </c>
      <c r="F19" s="11" t="n">
        <v>0.02</v>
      </c>
      <c r="G19" s="11" t="n">
        <v>0.02</v>
      </c>
      <c r="H19" s="12" t="inlineStr">
        <is>
          <t>Inventory-led quick commerce</t>
        </is>
      </c>
    </row>
    <row r="20">
      <c r="A20" s="5" t="inlineStr">
        <is>
          <t>Risk-free rate</t>
        </is>
      </c>
      <c r="B20" s="11" t="n">
        <v>0.0675</v>
      </c>
      <c r="C20" s="10" t="n"/>
      <c r="D20" s="10" t="n"/>
      <c r="E20" s="10" t="n"/>
      <c r="F20" s="10" t="n"/>
      <c r="G20" s="10" t="n"/>
      <c r="H20" s="12" t="inlineStr">
        <is>
          <t>India 10Y government bond yield</t>
        </is>
      </c>
    </row>
    <row r="21">
      <c r="A21" s="5" t="inlineStr">
        <is>
          <t>Equity risk premium</t>
        </is>
      </c>
      <c r="B21" s="11" t="n">
        <v>0.07000000000000001</v>
      </c>
      <c r="C21" s="10" t="n"/>
      <c r="D21" s="10" t="n"/>
      <c r="E21" s="10" t="n"/>
      <c r="F21" s="10" t="n"/>
      <c r="G21" s="10" t="n"/>
      <c r="H21" s="12" t="inlineStr">
        <is>
          <t>India ERP assumption</t>
        </is>
      </c>
    </row>
    <row r="22">
      <c r="A22" s="5" t="inlineStr">
        <is>
          <t>Beta</t>
        </is>
      </c>
      <c r="B22" s="15" t="n">
        <v>1.1</v>
      </c>
      <c r="C22" s="2" t="n"/>
      <c r="D22" s="2" t="n"/>
      <c r="E22" s="2" t="n"/>
      <c r="F22" s="2" t="n"/>
      <c r="G22" s="2" t="n"/>
      <c r="H22" s="12" t="inlineStr">
        <is>
          <t>High-growth consumer internet beta</t>
        </is>
      </c>
    </row>
    <row r="23">
      <c r="A23" s="5" t="inlineStr">
        <is>
          <t>Pre-tax cost of debt</t>
        </is>
      </c>
      <c r="B23" s="11" t="n">
        <v>0.08500000000000001</v>
      </c>
      <c r="C23" s="10" t="n"/>
      <c r="D23" s="10" t="n"/>
      <c r="E23" s="10" t="n"/>
      <c r="F23" s="10" t="n"/>
      <c r="G23" s="10" t="n"/>
      <c r="H23" s="12" t="inlineStr">
        <is>
          <t>Illustrative borrowing cost</t>
        </is>
      </c>
    </row>
    <row r="24">
      <c r="A24" s="5" t="inlineStr">
        <is>
          <t>Debt weight</t>
        </is>
      </c>
      <c r="B24" s="11" t="n">
        <v>0.05</v>
      </c>
      <c r="C24" s="10" t="n"/>
      <c r="D24" s="10" t="n"/>
      <c r="E24" s="10" t="n"/>
      <c r="F24" s="10" t="n"/>
      <c r="G24" s="10" t="n"/>
      <c r="H24" s="12" t="inlineStr">
        <is>
          <t>Illustrative capital structure</t>
        </is>
      </c>
    </row>
    <row r="25">
      <c r="A25" s="5" t="inlineStr">
        <is>
          <t>Terminal growth rate</t>
        </is>
      </c>
      <c r="B25" s="11" t="n">
        <v>0.05</v>
      </c>
      <c r="C25" s="10" t="n"/>
      <c r="D25" s="10" t="n"/>
      <c r="E25" s="10" t="n"/>
      <c r="F25" s="10" t="n"/>
      <c r="G25" s="10" t="n"/>
      <c r="H25" s="12" t="inlineStr">
        <is>
          <t>Long-term nominal growth</t>
        </is>
      </c>
    </row>
    <row r="26">
      <c r="A26" s="5" t="inlineStr">
        <is>
          <t>Net cash / (debt) (₹ cr)</t>
        </is>
      </c>
      <c r="B26" s="13" t="n">
        <v>17972</v>
      </c>
      <c r="C26" s="14" t="n"/>
      <c r="D26" s="14" t="n"/>
      <c r="E26" s="14" t="n"/>
      <c r="F26" s="14" t="n"/>
      <c r="G26" s="14" t="n"/>
      <c r="H26" s="12" t="inlineStr">
        <is>
          <t>Cash balance; deduct debt/leases if applicable</t>
        </is>
      </c>
    </row>
    <row r="27">
      <c r="A27" s="5" t="inlineStr">
        <is>
          <t>Diluted shares (million)</t>
        </is>
      </c>
      <c r="B27" s="13" t="n">
        <v>9650</v>
      </c>
      <c r="C27" s="14" t="n"/>
      <c r="D27" s="14" t="n"/>
      <c r="E27" s="14" t="n"/>
      <c r="F27" s="14" t="n"/>
      <c r="G27" s="14" t="n"/>
      <c r="H27" s="12" t="inlineStr">
        <is>
          <t>Approximate diluted share count</t>
        </is>
      </c>
    </row>
    <row r="28">
      <c r="A28" s="5" t="inlineStr">
        <is>
          <t>Current share price (₹)</t>
        </is>
      </c>
      <c r="B28" s="13" t="n">
        <v>319.55</v>
      </c>
      <c r="C28" s="14" t="n"/>
      <c r="D28" s="14" t="n"/>
      <c r="E28" s="14" t="n"/>
      <c r="F28" s="14" t="n"/>
      <c r="G28" s="14" t="n"/>
      <c r="H28" s="12" t="inlineStr">
        <is>
          <t>For implied upside comparison</t>
        </is>
      </c>
    </row>
  </sheetData>
  <autoFilter ref="A3:H28"/>
  <mergeCells count="1">
    <mergeCell ref="A1:H1"/>
  </mergeCells>
  <pageMargins left="0.75" right="0.75" top="1" bottom="1" header="0.5" footer="0.5"/>
  <pageSetup orientation="landscape" fitToHeight="0" fitToWidth="1"/>
  <headerFooter>
    <oddHeader/>
    <oddFooter>&amp;CEternal Limited | Confidential | Illustrative DCF&amp;RPage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N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Revenue Build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6" t="inlineStr">
        <is>
          <t>₹ crore</t>
        </is>
      </c>
      <c r="B3" s="16" t="inlineStr">
        <is>
          <t>FY26A</t>
        </is>
      </c>
      <c r="C3" s="16" t="inlineStr">
        <is>
          <t>FY27E</t>
        </is>
      </c>
      <c r="D3" s="16" t="inlineStr">
        <is>
          <t>FY28E</t>
        </is>
      </c>
      <c r="E3" s="16" t="inlineStr">
        <is>
          <t>FY29E</t>
        </is>
      </c>
      <c r="F3" s="16" t="inlineStr">
        <is>
          <t>FY30E</t>
        </is>
      </c>
      <c r="G3" s="16" t="inlineStr">
        <is>
          <t>FY31E</t>
        </is>
      </c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Food delivery NOV</t>
        </is>
      </c>
      <c r="B4" s="14">
        <f>Assumptions!B4</f>
        <v/>
      </c>
      <c r="C4" s="14">
        <f>Assumptions!C4</f>
        <v/>
      </c>
      <c r="D4" s="14">
        <f>Assumptions!D4</f>
        <v/>
      </c>
      <c r="E4" s="14">
        <f>Assumptions!E4</f>
        <v/>
      </c>
      <c r="F4" s="14">
        <f>Assumptions!F4</f>
        <v/>
      </c>
      <c r="G4" s="14">
        <f>Assumptions!G4</f>
        <v/>
      </c>
      <c r="H4" s="2" t="n"/>
      <c r="I4" s="2" t="n"/>
      <c r="J4" s="2" t="n"/>
      <c r="K4" s="2" t="n"/>
      <c r="L4" s="2" t="n"/>
      <c r="M4" s="2" t="n"/>
      <c r="N4" s="2" t="n"/>
    </row>
    <row r="5">
      <c r="A5" s="5" t="inlineStr">
        <is>
          <t>Food delivery growth</t>
        </is>
      </c>
      <c r="B5" s="17">
        <f>Assumptions!B5</f>
        <v/>
      </c>
      <c r="C5" s="17">
        <f>Assumptions!C5</f>
        <v/>
      </c>
      <c r="D5" s="17">
        <f>Assumptions!D5</f>
        <v/>
      </c>
      <c r="E5" s="17">
        <f>Assumptions!E5</f>
        <v/>
      </c>
      <c r="F5" s="17">
        <f>Assumptions!F5</f>
        <v/>
      </c>
      <c r="G5" s="17">
        <f>Assumptions!G5</f>
        <v/>
      </c>
      <c r="H5" s="2" t="n"/>
      <c r="I5" s="2" t="n"/>
      <c r="J5" s="2" t="n"/>
      <c r="K5" s="2" t="n"/>
      <c r="L5" s="2" t="n"/>
      <c r="M5" s="2" t="n"/>
      <c r="N5" s="2" t="n"/>
    </row>
    <row r="6">
      <c r="A6" s="5" t="inlineStr">
        <is>
          <t>Food delivery take rate</t>
        </is>
      </c>
      <c r="B6" s="17">
        <f>Assumptions!B6</f>
        <v/>
      </c>
      <c r="C6" s="17">
        <f>Assumptions!C6</f>
        <v/>
      </c>
      <c r="D6" s="17">
        <f>Assumptions!D6</f>
        <v/>
      </c>
      <c r="E6" s="17">
        <f>Assumptions!E6</f>
        <v/>
      </c>
      <c r="F6" s="17">
        <f>Assumptions!F6</f>
        <v/>
      </c>
      <c r="G6" s="17">
        <f>Assumptions!G6</f>
        <v/>
      </c>
      <c r="H6" s="2" t="n"/>
      <c r="I6" s="2" t="n"/>
      <c r="J6" s="2" t="n"/>
      <c r="K6" s="2" t="n"/>
      <c r="L6" s="2" t="n"/>
      <c r="M6" s="2" t="n"/>
      <c r="N6" s="2" t="n"/>
    </row>
    <row r="7">
      <c r="A7" s="5" t="inlineStr">
        <is>
          <t>Food delivery revenue</t>
        </is>
      </c>
      <c r="B7" s="18">
        <f>B4*B6</f>
        <v/>
      </c>
      <c r="C7" s="18">
        <f>C4*C6</f>
        <v/>
      </c>
      <c r="D7" s="18">
        <f>D4*D6</f>
        <v/>
      </c>
      <c r="E7" s="18">
        <f>E4*E6</f>
        <v/>
      </c>
      <c r="F7" s="18">
        <f>F4*F6</f>
        <v/>
      </c>
      <c r="G7" s="18">
        <f>G4*G6</f>
        <v/>
      </c>
      <c r="H7" s="2" t="n"/>
      <c r="I7" s="2" t="n"/>
      <c r="J7" s="2" t="n"/>
      <c r="K7" s="2" t="n"/>
      <c r="L7" s="2" t="n"/>
      <c r="M7" s="2" t="n"/>
      <c r="N7" s="2" t="n"/>
    </row>
    <row r="8">
      <c r="A8" s="5" t="inlineStr">
        <is>
          <t>Quick commerce NOV</t>
        </is>
      </c>
      <c r="B8" s="18">
        <f>Assumptions!B7</f>
        <v/>
      </c>
      <c r="C8" s="18">
        <f>Assumptions!C7</f>
        <v/>
      </c>
      <c r="D8" s="18">
        <f>Assumptions!D7</f>
        <v/>
      </c>
      <c r="E8" s="18">
        <f>Assumptions!E7</f>
        <v/>
      </c>
      <c r="F8" s="18">
        <f>Assumptions!F7</f>
        <v/>
      </c>
      <c r="G8" s="18">
        <f>Assumptions!G7</f>
        <v/>
      </c>
      <c r="H8" s="2" t="n"/>
      <c r="I8" s="2" t="n"/>
      <c r="J8" s="2" t="n"/>
      <c r="K8" s="2" t="n"/>
      <c r="L8" s="2" t="n"/>
      <c r="M8" s="2" t="n"/>
      <c r="N8" s="2" t="n"/>
    </row>
    <row r="9">
      <c r="A9" s="5" t="inlineStr">
        <is>
          <t>Quick commerce growth</t>
        </is>
      </c>
      <c r="B9" s="17">
        <f>Assumptions!B8</f>
        <v/>
      </c>
      <c r="C9" s="17">
        <f>Assumptions!C8</f>
        <v/>
      </c>
      <c r="D9" s="17">
        <f>Assumptions!D8</f>
        <v/>
      </c>
      <c r="E9" s="17">
        <f>Assumptions!E8</f>
        <v/>
      </c>
      <c r="F9" s="17">
        <f>Assumptions!F8</f>
        <v/>
      </c>
      <c r="G9" s="17">
        <f>Assumptions!G8</f>
        <v/>
      </c>
      <c r="H9" s="2" t="n"/>
      <c r="I9" s="2" t="n"/>
      <c r="J9" s="2" t="n"/>
      <c r="K9" s="2" t="n"/>
      <c r="L9" s="2" t="n"/>
      <c r="M9" s="2" t="n"/>
      <c r="N9" s="2" t="n"/>
    </row>
    <row r="10">
      <c r="A10" s="5" t="inlineStr">
        <is>
          <t>Quick commerce monetisation</t>
        </is>
      </c>
      <c r="B10" s="17">
        <f>Assumptions!B9</f>
        <v/>
      </c>
      <c r="C10" s="17">
        <f>Assumptions!C9</f>
        <v/>
      </c>
      <c r="D10" s="17">
        <f>Assumptions!D9</f>
        <v/>
      </c>
      <c r="E10" s="17">
        <f>Assumptions!E9</f>
        <v/>
      </c>
      <c r="F10" s="17">
        <f>Assumptions!F9</f>
        <v/>
      </c>
      <c r="G10" s="17">
        <f>Assumptions!G9</f>
        <v/>
      </c>
      <c r="H10" s="2" t="n"/>
      <c r="I10" s="2" t="n"/>
      <c r="J10" s="2" t="n"/>
      <c r="K10" s="2" t="n"/>
      <c r="L10" s="2" t="n"/>
      <c r="M10" s="2" t="n"/>
      <c r="N10" s="2" t="n"/>
    </row>
    <row r="11">
      <c r="A11" s="5" t="inlineStr">
        <is>
          <t>Quick commerce revenue</t>
        </is>
      </c>
      <c r="B11" s="18">
        <f>B8*B10</f>
        <v/>
      </c>
      <c r="C11" s="18">
        <f>C8*C10</f>
        <v/>
      </c>
      <c r="D11" s="18">
        <f>D8*D10</f>
        <v/>
      </c>
      <c r="E11" s="18">
        <f>E8*E10</f>
        <v/>
      </c>
      <c r="F11" s="18">
        <f>F8*F10</f>
        <v/>
      </c>
      <c r="G11" s="18">
        <f>G8*G10</f>
        <v/>
      </c>
      <c r="H11" s="2" t="n"/>
      <c r="I11" s="2" t="n"/>
      <c r="J11" s="2" t="n"/>
      <c r="K11" s="2" t="n"/>
      <c r="L11" s="2" t="n"/>
      <c r="M11" s="2" t="n"/>
      <c r="N11" s="2" t="n"/>
    </row>
    <row r="12">
      <c r="A12" s="5" t="inlineStr">
        <is>
          <t>Other revenue</t>
        </is>
      </c>
      <c r="B12" s="18">
        <f>Assumptions!B10</f>
        <v/>
      </c>
      <c r="C12" s="18">
        <f>Assumptions!C10</f>
        <v/>
      </c>
      <c r="D12" s="18">
        <f>Assumptions!D10</f>
        <v/>
      </c>
      <c r="E12" s="18">
        <f>Assumptions!E10</f>
        <v/>
      </c>
      <c r="F12" s="18">
        <f>Assumptions!F10</f>
        <v/>
      </c>
      <c r="G12" s="18">
        <f>Assumptions!G10</f>
        <v/>
      </c>
      <c r="H12" s="2" t="n"/>
      <c r="I12" s="2" t="n"/>
      <c r="J12" s="2" t="n"/>
      <c r="K12" s="2" t="n"/>
      <c r="L12" s="2" t="n"/>
      <c r="M12" s="2" t="n"/>
      <c r="N12" s="2" t="n"/>
    </row>
    <row r="13">
      <c r="A13" s="5" t="inlineStr">
        <is>
          <t>Other revenue growth</t>
        </is>
      </c>
      <c r="B13" s="17">
        <f>Assumptions!B11</f>
        <v/>
      </c>
      <c r="C13" s="17">
        <f>Assumptions!C11</f>
        <v/>
      </c>
      <c r="D13" s="17">
        <f>Assumptions!D11</f>
        <v/>
      </c>
      <c r="E13" s="17">
        <f>Assumptions!E11</f>
        <v/>
      </c>
      <c r="F13" s="17">
        <f>Assumptions!F11</f>
        <v/>
      </c>
      <c r="G13" s="17">
        <f>Assumptions!G11</f>
        <v/>
      </c>
      <c r="H13" s="2" t="n"/>
      <c r="I13" s="2" t="n"/>
      <c r="J13" s="2" t="n"/>
      <c r="K13" s="2" t="n"/>
      <c r="L13" s="2" t="n"/>
      <c r="M13" s="2" t="n"/>
      <c r="N13" s="2" t="n"/>
    </row>
    <row r="14">
      <c r="A14" s="5" t="inlineStr">
        <is>
          <t>Total revenue</t>
        </is>
      </c>
      <c r="B14" s="18">
        <f>B7+B11+B12</f>
        <v/>
      </c>
      <c r="C14" s="18">
        <f>C7+C11+C12</f>
        <v/>
      </c>
      <c r="D14" s="18">
        <f>D7+D11+D12</f>
        <v/>
      </c>
      <c r="E14" s="18">
        <f>E7+E11+E12</f>
        <v/>
      </c>
      <c r="F14" s="18">
        <f>F7+F11+F12</f>
        <v/>
      </c>
      <c r="G14" s="18">
        <f>G7+G11+G12</f>
        <v/>
      </c>
      <c r="H14" s="2" t="n"/>
      <c r="I14" s="2" t="n"/>
      <c r="J14" s="2" t="n"/>
      <c r="K14" s="2" t="n"/>
      <c r="L14" s="2" t="n"/>
      <c r="M14" s="2" t="n"/>
      <c r="N14" s="2" t="n"/>
    </row>
    <row r="15">
      <c r="A15" s="5" t="inlineStr">
        <is>
          <t>Total revenue growth</t>
        </is>
      </c>
      <c r="B15" s="17" t="inlineStr"/>
      <c r="C15" s="17">
        <f>C14/B14-1</f>
        <v/>
      </c>
      <c r="D15" s="17">
        <f>D14/C14-1</f>
        <v/>
      </c>
      <c r="E15" s="17">
        <f>E14/D14-1</f>
        <v/>
      </c>
      <c r="F15" s="17">
        <f>F14/E14-1</f>
        <v/>
      </c>
      <c r="G15" s="17">
        <f>G14/F14-1</f>
        <v/>
      </c>
      <c r="H15" s="2" t="n"/>
      <c r="I15" s="2" t="n"/>
      <c r="J15" s="2" t="n"/>
      <c r="K15" s="2" t="n"/>
      <c r="L15" s="2" t="n"/>
      <c r="M15" s="2" t="n"/>
      <c r="N15" s="2" t="n"/>
    </row>
  </sheetData>
  <mergeCells count="1">
    <mergeCell ref="A1:N1"/>
  </mergeCells>
  <pageMargins left="0.75" right="0.75" top="1" bottom="1" header="0.5" footer="0.5"/>
  <pageSetup orientation="landscape" fitToHeight="0" fitToWidth="1"/>
  <headerFooter>
    <oddHeader/>
    <oddFooter>&amp;CEternal Limited | Confidential | Illustrative DCF&amp;RPage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N2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EBITDA Bridge &amp; Free Cash Flow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6" t="inlineStr">
        <is>
          <t>₹ crore</t>
        </is>
      </c>
      <c r="B3" s="16" t="inlineStr">
        <is>
          <t>FY26A</t>
        </is>
      </c>
      <c r="C3" s="16" t="inlineStr">
        <is>
          <t>FY27E</t>
        </is>
      </c>
      <c r="D3" s="16" t="inlineStr">
        <is>
          <t>FY28E</t>
        </is>
      </c>
      <c r="E3" s="16" t="inlineStr">
        <is>
          <t>FY29E</t>
        </is>
      </c>
      <c r="F3" s="16" t="inlineStr">
        <is>
          <t>FY30E</t>
        </is>
      </c>
      <c r="G3" s="16" t="inlineStr">
        <is>
          <t>FY31E</t>
        </is>
      </c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Food delivery revenue</t>
        </is>
      </c>
      <c r="B4" s="14">
        <f>'Revenue Build'!B7</f>
        <v/>
      </c>
      <c r="C4" s="14">
        <f>'Revenue Build'!C7</f>
        <v/>
      </c>
      <c r="D4" s="14">
        <f>'Revenue Build'!D7</f>
        <v/>
      </c>
      <c r="E4" s="14">
        <f>'Revenue Build'!E7</f>
        <v/>
      </c>
      <c r="F4" s="14">
        <f>'Revenue Build'!F7</f>
        <v/>
      </c>
      <c r="G4" s="14">
        <f>'Revenue Build'!G7</f>
        <v/>
      </c>
      <c r="H4" s="2" t="n"/>
      <c r="I4" s="2" t="n"/>
      <c r="J4" s="2" t="n"/>
      <c r="K4" s="2" t="n"/>
      <c r="L4" s="2" t="n"/>
      <c r="M4" s="2" t="n"/>
      <c r="N4" s="2" t="n"/>
    </row>
    <row r="5">
      <c r="A5" s="5" t="inlineStr">
        <is>
          <t>Food delivery EBITDA margin</t>
        </is>
      </c>
      <c r="B5" s="17">
        <f>Assumptions!B12</f>
        <v/>
      </c>
      <c r="C5" s="17">
        <f>Assumptions!C12</f>
        <v/>
      </c>
      <c r="D5" s="17">
        <f>Assumptions!D12</f>
        <v/>
      </c>
      <c r="E5" s="17">
        <f>Assumptions!E12</f>
        <v/>
      </c>
      <c r="F5" s="17">
        <f>Assumptions!F12</f>
        <v/>
      </c>
      <c r="G5" s="17">
        <f>Assumptions!G12</f>
        <v/>
      </c>
      <c r="H5" s="2" t="n"/>
      <c r="I5" s="2" t="n"/>
      <c r="J5" s="2" t="n"/>
      <c r="K5" s="2" t="n"/>
      <c r="L5" s="2" t="n"/>
      <c r="M5" s="2" t="n"/>
      <c r="N5" s="2" t="n"/>
    </row>
    <row r="6">
      <c r="A6" s="5" t="inlineStr">
        <is>
          <t>Food delivery EBITDA</t>
        </is>
      </c>
      <c r="B6" s="18">
        <f>B4*B5</f>
        <v/>
      </c>
      <c r="C6" s="18">
        <f>C4*C5</f>
        <v/>
      </c>
      <c r="D6" s="18">
        <f>D4*D5</f>
        <v/>
      </c>
      <c r="E6" s="18">
        <f>E4*E5</f>
        <v/>
      </c>
      <c r="F6" s="18">
        <f>F4*F5</f>
        <v/>
      </c>
      <c r="G6" s="18">
        <f>G4*G5</f>
        <v/>
      </c>
      <c r="H6" s="2" t="n"/>
      <c r="I6" s="2" t="n"/>
      <c r="J6" s="2" t="n"/>
      <c r="K6" s="2" t="n"/>
      <c r="L6" s="2" t="n"/>
      <c r="M6" s="2" t="n"/>
      <c r="N6" s="2" t="n"/>
    </row>
    <row r="7">
      <c r="A7" s="5" t="inlineStr">
        <is>
          <t>Quick commerce revenue</t>
        </is>
      </c>
      <c r="B7" s="18">
        <f>'Revenue Build'!B11</f>
        <v/>
      </c>
      <c r="C7" s="18">
        <f>'Revenue Build'!C11</f>
        <v/>
      </c>
      <c r="D7" s="18">
        <f>'Revenue Build'!D11</f>
        <v/>
      </c>
      <c r="E7" s="18">
        <f>'Revenue Build'!E11</f>
        <v/>
      </c>
      <c r="F7" s="18">
        <f>'Revenue Build'!F11</f>
        <v/>
      </c>
      <c r="G7" s="18">
        <f>'Revenue Build'!G11</f>
        <v/>
      </c>
      <c r="H7" s="2" t="n"/>
      <c r="I7" s="2" t="n"/>
      <c r="J7" s="2" t="n"/>
      <c r="K7" s="2" t="n"/>
      <c r="L7" s="2" t="n"/>
      <c r="M7" s="2" t="n"/>
      <c r="N7" s="2" t="n"/>
    </row>
    <row r="8">
      <c r="A8" s="5" t="inlineStr">
        <is>
          <t>Quick commerce EBITDA margin</t>
        </is>
      </c>
      <c r="B8" s="17">
        <f>Assumptions!B13</f>
        <v/>
      </c>
      <c r="C8" s="17">
        <f>Assumptions!C13</f>
        <v/>
      </c>
      <c r="D8" s="17">
        <f>Assumptions!D13</f>
        <v/>
      </c>
      <c r="E8" s="17">
        <f>Assumptions!E13</f>
        <v/>
      </c>
      <c r="F8" s="17">
        <f>Assumptions!F13</f>
        <v/>
      </c>
      <c r="G8" s="17">
        <f>Assumptions!G13</f>
        <v/>
      </c>
      <c r="H8" s="2" t="n"/>
      <c r="I8" s="2" t="n"/>
      <c r="J8" s="2" t="n"/>
      <c r="K8" s="2" t="n"/>
      <c r="L8" s="2" t="n"/>
      <c r="M8" s="2" t="n"/>
      <c r="N8" s="2" t="n"/>
    </row>
    <row r="9">
      <c r="A9" s="5" t="inlineStr">
        <is>
          <t>Quick commerce EBITDA</t>
        </is>
      </c>
      <c r="B9" s="18">
        <f>B7*B8</f>
        <v/>
      </c>
      <c r="C9" s="18">
        <f>C7*C8</f>
        <v/>
      </c>
      <c r="D9" s="18">
        <f>D7*D8</f>
        <v/>
      </c>
      <c r="E9" s="18">
        <f>E7*E8</f>
        <v/>
      </c>
      <c r="F9" s="18">
        <f>F7*F8</f>
        <v/>
      </c>
      <c r="G9" s="18">
        <f>G7*G8</f>
        <v/>
      </c>
      <c r="H9" s="2" t="n"/>
      <c r="I9" s="2" t="n"/>
      <c r="J9" s="2" t="n"/>
      <c r="K9" s="2" t="n"/>
      <c r="L9" s="2" t="n"/>
      <c r="M9" s="2" t="n"/>
      <c r="N9" s="2" t="n"/>
    </row>
    <row r="10">
      <c r="A10" s="5" t="inlineStr">
        <is>
          <t>Other revenue</t>
        </is>
      </c>
      <c r="B10" s="18">
        <f>'Revenue Build'!B12</f>
        <v/>
      </c>
      <c r="C10" s="18">
        <f>'Revenue Build'!C12</f>
        <v/>
      </c>
      <c r="D10" s="18">
        <f>'Revenue Build'!D12</f>
        <v/>
      </c>
      <c r="E10" s="18">
        <f>'Revenue Build'!E12</f>
        <v/>
      </c>
      <c r="F10" s="18">
        <f>'Revenue Build'!F12</f>
        <v/>
      </c>
      <c r="G10" s="18">
        <f>'Revenue Build'!G12</f>
        <v/>
      </c>
      <c r="H10" s="2" t="n"/>
      <c r="I10" s="2" t="n"/>
      <c r="J10" s="2" t="n"/>
      <c r="K10" s="2" t="n"/>
      <c r="L10" s="2" t="n"/>
      <c r="M10" s="2" t="n"/>
      <c r="N10" s="2" t="n"/>
    </row>
    <row r="11">
      <c r="A11" s="5" t="inlineStr">
        <is>
          <t>Other EBITDA margin</t>
        </is>
      </c>
      <c r="B11" s="17">
        <f>Assumptions!B14</f>
        <v/>
      </c>
      <c r="C11" s="17">
        <f>Assumptions!C14</f>
        <v/>
      </c>
      <c r="D11" s="17">
        <f>Assumptions!D14</f>
        <v/>
      </c>
      <c r="E11" s="17">
        <f>Assumptions!E14</f>
        <v/>
      </c>
      <c r="F11" s="17">
        <f>Assumptions!F14</f>
        <v/>
      </c>
      <c r="G11" s="17">
        <f>Assumptions!G14</f>
        <v/>
      </c>
      <c r="H11" s="2" t="n"/>
      <c r="I11" s="2" t="n"/>
      <c r="J11" s="2" t="n"/>
      <c r="K11" s="2" t="n"/>
      <c r="L11" s="2" t="n"/>
      <c r="M11" s="2" t="n"/>
      <c r="N11" s="2" t="n"/>
    </row>
    <row r="12">
      <c r="A12" s="5" t="inlineStr">
        <is>
          <t>Other EBITDA</t>
        </is>
      </c>
      <c r="B12" s="18">
        <f>B10*B11</f>
        <v/>
      </c>
      <c r="C12" s="18">
        <f>C10*C11</f>
        <v/>
      </c>
      <c r="D12" s="18">
        <f>D10*D11</f>
        <v/>
      </c>
      <c r="E12" s="18">
        <f>E10*E11</f>
        <v/>
      </c>
      <c r="F12" s="18">
        <f>F10*F11</f>
        <v/>
      </c>
      <c r="G12" s="18">
        <f>G10*G11</f>
        <v/>
      </c>
      <c r="H12" s="2" t="n"/>
      <c r="I12" s="2" t="n"/>
      <c r="J12" s="2" t="n"/>
      <c r="K12" s="2" t="n"/>
      <c r="L12" s="2" t="n"/>
      <c r="M12" s="2" t="n"/>
      <c r="N12" s="2" t="n"/>
    </row>
    <row r="13">
      <c r="A13" s="5" t="inlineStr">
        <is>
          <t>Corporate / unallocated costs</t>
        </is>
      </c>
      <c r="B13" s="18">
        <f>Assumptions!B15</f>
        <v/>
      </c>
      <c r="C13" s="18">
        <f>Assumptions!C15</f>
        <v/>
      </c>
      <c r="D13" s="18">
        <f>Assumptions!D15</f>
        <v/>
      </c>
      <c r="E13" s="18">
        <f>Assumptions!E15</f>
        <v/>
      </c>
      <c r="F13" s="18">
        <f>Assumptions!F15</f>
        <v/>
      </c>
      <c r="G13" s="18">
        <f>Assumptions!G15</f>
        <v/>
      </c>
      <c r="H13" s="2" t="n"/>
      <c r="I13" s="2" t="n"/>
      <c r="J13" s="2" t="n"/>
      <c r="K13" s="2" t="n"/>
      <c r="L13" s="2" t="n"/>
      <c r="M13" s="2" t="n"/>
      <c r="N13" s="2" t="n"/>
    </row>
    <row r="14">
      <c r="A14" s="5" t="inlineStr">
        <is>
          <t>Consolidated EBITDA</t>
        </is>
      </c>
      <c r="B14" s="18">
        <f>B6+B9+B12+B13</f>
        <v/>
      </c>
      <c r="C14" s="18">
        <f>C6+C9+C12+C13</f>
        <v/>
      </c>
      <c r="D14" s="18">
        <f>D6+D9+D12+D13</f>
        <v/>
      </c>
      <c r="E14" s="18">
        <f>E6+E9+E12+E13</f>
        <v/>
      </c>
      <c r="F14" s="18">
        <f>F6+F9+F12+F13</f>
        <v/>
      </c>
      <c r="G14" s="18">
        <f>G6+G9+G12+G13</f>
        <v/>
      </c>
      <c r="H14" s="2" t="n"/>
      <c r="I14" s="2" t="n"/>
      <c r="J14" s="2" t="n"/>
      <c r="K14" s="2" t="n"/>
      <c r="L14" s="2" t="n"/>
      <c r="M14" s="2" t="n"/>
      <c r="N14" s="2" t="n"/>
    </row>
    <row r="15">
      <c r="A15" s="5" t="inlineStr">
        <is>
          <t>EBITDA margin</t>
        </is>
      </c>
      <c r="B15" s="17">
        <f>B14/'Revenue Build'!B14</f>
        <v/>
      </c>
      <c r="C15" s="17">
        <f>C14/'Revenue Build'!C14</f>
        <v/>
      </c>
      <c r="D15" s="17">
        <f>D14/'Revenue Build'!D14</f>
        <v/>
      </c>
      <c r="E15" s="17">
        <f>E14/'Revenue Build'!E14</f>
        <v/>
      </c>
      <c r="F15" s="17">
        <f>F14/'Revenue Build'!F14</f>
        <v/>
      </c>
      <c r="G15" s="17">
        <f>G14/'Revenue Build'!G14</f>
        <v/>
      </c>
      <c r="H15" s="2" t="n"/>
      <c r="I15" s="2" t="n"/>
      <c r="J15" s="2" t="n"/>
      <c r="K15" s="2" t="n"/>
      <c r="L15" s="2" t="n"/>
      <c r="M15" s="2" t="n"/>
      <c r="N15" s="2" t="n"/>
    </row>
    <row r="16">
      <c r="A16" s="5" t="inlineStr">
        <is>
          <t>D&amp;A</t>
        </is>
      </c>
      <c r="B16" s="18">
        <f>'Revenue Build'!B14*Assumptions!B17</f>
        <v/>
      </c>
      <c r="C16" s="18">
        <f>'Revenue Build'!C14*Assumptions!C17</f>
        <v/>
      </c>
      <c r="D16" s="18">
        <f>'Revenue Build'!D14*Assumptions!D17</f>
        <v/>
      </c>
      <c r="E16" s="18">
        <f>'Revenue Build'!E14*Assumptions!E17</f>
        <v/>
      </c>
      <c r="F16" s="18">
        <f>'Revenue Build'!F14*Assumptions!F17</f>
        <v/>
      </c>
      <c r="G16" s="18">
        <f>'Revenue Build'!G14*Assumptions!G17</f>
        <v/>
      </c>
      <c r="H16" s="2" t="n"/>
      <c r="I16" s="2" t="n"/>
      <c r="J16" s="2" t="n"/>
      <c r="K16" s="2" t="n"/>
      <c r="L16" s="2" t="n"/>
      <c r="M16" s="2" t="n"/>
      <c r="N16" s="2" t="n"/>
    </row>
    <row r="17">
      <c r="A17" s="5" t="inlineStr">
        <is>
          <t>EBIT</t>
        </is>
      </c>
      <c r="B17" s="18">
        <f>B14-B16</f>
        <v/>
      </c>
      <c r="C17" s="18">
        <f>C14-C16</f>
        <v/>
      </c>
      <c r="D17" s="18">
        <f>D14-D16</f>
        <v/>
      </c>
      <c r="E17" s="18">
        <f>E14-E16</f>
        <v/>
      </c>
      <c r="F17" s="18">
        <f>F14-F16</f>
        <v/>
      </c>
      <c r="G17" s="18">
        <f>G14-G16</f>
        <v/>
      </c>
      <c r="H17" s="2" t="n"/>
      <c r="I17" s="2" t="n"/>
      <c r="J17" s="2" t="n"/>
      <c r="K17" s="2" t="n"/>
      <c r="L17" s="2" t="n"/>
      <c r="M17" s="2" t="n"/>
      <c r="N17" s="2" t="n"/>
    </row>
    <row r="18">
      <c r="A18" s="5" t="inlineStr">
        <is>
          <t>Cash taxes</t>
        </is>
      </c>
      <c r="B18" s="18">
        <f>MAX(0,B17*Assumptions!B16)</f>
        <v/>
      </c>
      <c r="C18" s="18">
        <f>MAX(0,C17*Assumptions!C16)</f>
        <v/>
      </c>
      <c r="D18" s="18">
        <f>MAX(0,D17*Assumptions!D16)</f>
        <v/>
      </c>
      <c r="E18" s="18">
        <f>MAX(0,E17*Assumptions!E16)</f>
        <v/>
      </c>
      <c r="F18" s="18">
        <f>MAX(0,F17*Assumptions!F16)</f>
        <v/>
      </c>
      <c r="G18" s="18">
        <f>MAX(0,G17*Assumptions!G16)</f>
        <v/>
      </c>
      <c r="H18" s="2" t="n"/>
      <c r="I18" s="2" t="n"/>
      <c r="J18" s="2" t="n"/>
      <c r="K18" s="2" t="n"/>
      <c r="L18" s="2" t="n"/>
      <c r="M18" s="2" t="n"/>
      <c r="N18" s="2" t="n"/>
    </row>
    <row r="19">
      <c r="A19" s="5" t="inlineStr">
        <is>
          <t>NOPAT</t>
        </is>
      </c>
      <c r="B19" s="18">
        <f>B17-B18</f>
        <v/>
      </c>
      <c r="C19" s="18">
        <f>C17-C18</f>
        <v/>
      </c>
      <c r="D19" s="18">
        <f>D17-D18</f>
        <v/>
      </c>
      <c r="E19" s="18">
        <f>E17-E18</f>
        <v/>
      </c>
      <c r="F19" s="18">
        <f>F17-F18</f>
        <v/>
      </c>
      <c r="G19" s="18">
        <f>G17-G18</f>
        <v/>
      </c>
      <c r="H19" s="2" t="n"/>
      <c r="I19" s="2" t="n"/>
      <c r="J19" s="2" t="n"/>
      <c r="K19" s="2" t="n"/>
      <c r="L19" s="2" t="n"/>
      <c r="M19" s="2" t="n"/>
      <c r="N19" s="2" t="n"/>
    </row>
    <row r="20">
      <c r="A20" s="5" t="inlineStr">
        <is>
          <t>Capex</t>
        </is>
      </c>
      <c r="B20" s="18">
        <f>-'Revenue Build'!B14*Assumptions!B18</f>
        <v/>
      </c>
      <c r="C20" s="18">
        <f>-'Revenue Build'!C14*Assumptions!C18</f>
        <v/>
      </c>
      <c r="D20" s="18">
        <f>-'Revenue Build'!D14*Assumptions!D18</f>
        <v/>
      </c>
      <c r="E20" s="18">
        <f>-'Revenue Build'!E14*Assumptions!E18</f>
        <v/>
      </c>
      <c r="F20" s="18">
        <f>-'Revenue Build'!F14*Assumptions!F18</f>
        <v/>
      </c>
      <c r="G20" s="18">
        <f>-'Revenue Build'!G14*Assumptions!G18</f>
        <v/>
      </c>
      <c r="H20" s="2" t="n"/>
      <c r="I20" s="2" t="n"/>
      <c r="J20" s="2" t="n"/>
      <c r="K20" s="2" t="n"/>
      <c r="L20" s="2" t="n"/>
      <c r="M20" s="2" t="n"/>
      <c r="N20" s="2" t="n"/>
    </row>
    <row r="21">
      <c r="A21" s="5" t="inlineStr">
        <is>
          <t>Change in NWC</t>
        </is>
      </c>
      <c r="B21" s="18" t="n">
        <v>0</v>
      </c>
      <c r="C21" s="18">
        <f>-('Revenue Build'!C14-'Revenue Build'!B14)*Assumptions!C19</f>
        <v/>
      </c>
      <c r="D21" s="18">
        <f>-('Revenue Build'!D14-'Revenue Build'!C14)*Assumptions!D19</f>
        <v/>
      </c>
      <c r="E21" s="18">
        <f>-('Revenue Build'!E14-'Revenue Build'!D14)*Assumptions!E19</f>
        <v/>
      </c>
      <c r="F21" s="18">
        <f>-('Revenue Build'!F14-'Revenue Build'!E14)*Assumptions!F19</f>
        <v/>
      </c>
      <c r="G21" s="18">
        <f>-('Revenue Build'!G14-'Revenue Build'!F14)*Assumptions!G19</f>
        <v/>
      </c>
      <c r="H21" s="2" t="n"/>
      <c r="I21" s="2" t="n"/>
      <c r="J21" s="2" t="n"/>
      <c r="K21" s="2" t="n"/>
      <c r="L21" s="2" t="n"/>
      <c r="M21" s="2" t="n"/>
      <c r="N21" s="2" t="n"/>
    </row>
    <row r="22">
      <c r="A22" s="5" t="inlineStr">
        <is>
          <t>FCFF</t>
        </is>
      </c>
      <c r="B22" s="18">
        <f>B19+B16+B20+B21</f>
        <v/>
      </c>
      <c r="C22" s="18">
        <f>C19+C16+C20+C21</f>
        <v/>
      </c>
      <c r="D22" s="18">
        <f>D19+D16+D20+D21</f>
        <v/>
      </c>
      <c r="E22" s="18">
        <f>E19+E16+E20+E21</f>
        <v/>
      </c>
      <c r="F22" s="18">
        <f>F19+F16+F20+F21</f>
        <v/>
      </c>
      <c r="G22" s="18">
        <f>G19+G16+G20+G21</f>
        <v/>
      </c>
      <c r="H22" s="2" t="n"/>
      <c r="I22" s="2" t="n"/>
      <c r="J22" s="2" t="n"/>
      <c r="K22" s="2" t="n"/>
      <c r="L22" s="2" t="n"/>
      <c r="M22" s="2" t="n"/>
      <c r="N22" s="2" t="n"/>
    </row>
  </sheetData>
  <mergeCells count="1">
    <mergeCell ref="A1:N1"/>
  </mergeCells>
  <pageMargins left="0.75" right="0.75" top="1" bottom="1" header="0.5" footer="0.5"/>
  <pageSetup orientation="landscape" fitToHeight="0" fitToWidth="1"/>
  <headerFooter>
    <oddHeader/>
    <oddFooter>&amp;CEternal Limited | Confidential | Illustrative DCF&amp;RPage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G2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DCF Valuation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16" t="inlineStr">
        <is>
          <t>₹ crore</t>
        </is>
      </c>
      <c r="B3" s="16" t="inlineStr">
        <is>
          <t>FY26A</t>
        </is>
      </c>
      <c r="C3" s="16" t="inlineStr">
        <is>
          <t>FY27E</t>
        </is>
      </c>
      <c r="D3" s="16" t="inlineStr">
        <is>
          <t>FY28E</t>
        </is>
      </c>
      <c r="E3" s="16" t="inlineStr">
        <is>
          <t>FY29E</t>
        </is>
      </c>
      <c r="F3" s="16" t="inlineStr">
        <is>
          <t>FY30E</t>
        </is>
      </c>
      <c r="G3" s="16" t="inlineStr">
        <is>
          <t>FY31E</t>
        </is>
      </c>
    </row>
    <row r="4">
      <c r="A4" s="2" t="inlineStr">
        <is>
          <t>FCFF</t>
        </is>
      </c>
      <c r="B4" s="14">
        <f>'Operating Model'!B22</f>
        <v/>
      </c>
      <c r="C4" s="14">
        <f>'Operating Model'!C22</f>
        <v/>
      </c>
      <c r="D4" s="14">
        <f>'Operating Model'!D22</f>
        <v/>
      </c>
      <c r="E4" s="14">
        <f>'Operating Model'!E22</f>
        <v/>
      </c>
      <c r="F4" s="14">
        <f>'Operating Model'!F22</f>
        <v/>
      </c>
      <c r="G4" s="14">
        <f>'Operating Model'!G22</f>
        <v/>
      </c>
    </row>
    <row r="5">
      <c r="A5" s="5" t="inlineStr">
        <is>
          <t>Discount period</t>
        </is>
      </c>
      <c r="B5" s="18" t="n">
        <v>0</v>
      </c>
      <c r="C5" s="18" t="n">
        <v>1</v>
      </c>
      <c r="D5" s="18" t="n">
        <v>2</v>
      </c>
      <c r="E5" s="18" t="n">
        <v>3</v>
      </c>
      <c r="F5" s="18" t="n">
        <v>4</v>
      </c>
      <c r="G5" s="18" t="n">
        <v>5</v>
      </c>
    </row>
    <row r="6">
      <c r="A6" s="5" t="inlineStr">
        <is>
          <t>Discount factor</t>
        </is>
      </c>
      <c r="B6" s="18" t="inlineStr"/>
      <c r="C6" s="18">
        <f>1/(1+$B$13)^C5</f>
        <v/>
      </c>
      <c r="D6" s="18">
        <f>1/(1+$B$13)^D5</f>
        <v/>
      </c>
      <c r="E6" s="18">
        <f>1/(1+$B$13)^E5</f>
        <v/>
      </c>
      <c r="F6" s="18">
        <f>1/(1+$B$13)^F5</f>
        <v/>
      </c>
      <c r="G6" s="18">
        <f>1/(1+$B$13)^G5</f>
        <v/>
      </c>
    </row>
    <row r="7">
      <c r="A7" s="5" t="inlineStr">
        <is>
          <t>PV of FCFF</t>
        </is>
      </c>
      <c r="B7" s="18" t="inlineStr"/>
      <c r="C7" s="18">
        <f>C4*C6</f>
        <v/>
      </c>
      <c r="D7" s="18">
        <f>D4*D6</f>
        <v/>
      </c>
      <c r="E7" s="18">
        <f>E4*E6</f>
        <v/>
      </c>
      <c r="F7" s="18">
        <f>F4*F6</f>
        <v/>
      </c>
      <c r="G7" s="18">
        <f>G4*G6</f>
        <v/>
      </c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4" t="inlineStr">
        <is>
          <t>Terminal Value</t>
        </is>
      </c>
      <c r="B9" s="2" t="n"/>
      <c r="C9" s="2" t="n"/>
      <c r="D9" s="2" t="n"/>
      <c r="E9" s="2" t="n"/>
      <c r="F9" s="2" t="n"/>
      <c r="G9" s="2" t="n"/>
    </row>
    <row r="10">
      <c r="A10" s="5" t="inlineStr">
        <is>
          <t>Terminal FCFF</t>
        </is>
      </c>
      <c r="B10" s="18">
        <f>G4</f>
        <v/>
      </c>
      <c r="C10" s="2" t="n"/>
      <c r="D10" s="2" t="n"/>
      <c r="E10" s="2" t="n"/>
      <c r="F10" s="2" t="n"/>
      <c r="G10" s="2" t="n"/>
    </row>
    <row r="11">
      <c r="A11" s="5" t="inlineStr">
        <is>
          <t>Terminal value</t>
        </is>
      </c>
      <c r="B11" s="18">
        <f>B10*(1+Assumptions!B25)/($B$14-Assumptions!B25)</f>
        <v/>
      </c>
      <c r="C11" s="2" t="n"/>
      <c r="D11" s="2" t="n"/>
      <c r="E11" s="2" t="n"/>
      <c r="F11" s="2" t="n"/>
      <c r="G11" s="2" t="n"/>
    </row>
    <row r="12">
      <c r="A12" s="5" t="inlineStr">
        <is>
          <t>PV of terminal value</t>
        </is>
      </c>
      <c r="B12" s="18">
        <f>B11*G6</f>
        <v/>
      </c>
      <c r="C12" s="2" t="n"/>
      <c r="D12" s="2" t="n"/>
      <c r="E12" s="2" t="n"/>
      <c r="F12" s="2" t="n"/>
      <c r="G12" s="2" t="n"/>
    </row>
    <row r="13">
      <c r="A13" s="4" t="inlineStr">
        <is>
          <t>Discount Rate &amp; Valuation</t>
        </is>
      </c>
      <c r="B13" s="2" t="n"/>
      <c r="C13" s="2" t="n"/>
      <c r="D13" s="2" t="n"/>
      <c r="E13" s="2" t="n"/>
      <c r="F13" s="2" t="n"/>
      <c r="G13" s="2" t="n"/>
    </row>
    <row r="14">
      <c r="A14" s="19" t="inlineStr">
        <is>
          <t>WACC</t>
        </is>
      </c>
      <c r="B14" s="20">
        <f>(1-Assumptions!B24)*(Assumptions!B20+Assumptions!B21*Assumptions!B22)+Assumptions!B24*Assumptions!B23*(1-Assumptions!B16)</f>
        <v/>
      </c>
      <c r="C14" s="2" t="n"/>
      <c r="D14" s="2" t="n"/>
      <c r="E14" s="2" t="n"/>
      <c r="F14" s="2" t="n"/>
      <c r="G14" s="2" t="n"/>
    </row>
    <row r="15">
      <c r="A15" s="5" t="inlineStr">
        <is>
          <t>PV of explicit FCFF</t>
        </is>
      </c>
      <c r="B15" s="18">
        <f>SUM(C7:G7)</f>
        <v/>
      </c>
      <c r="C15" s="2" t="n"/>
      <c r="D15" s="2" t="n"/>
      <c r="E15" s="2" t="n"/>
      <c r="F15" s="2" t="n"/>
      <c r="G15" s="2" t="n"/>
    </row>
    <row r="16">
      <c r="A16" s="19" t="inlineStr">
        <is>
          <t>Enterprise value</t>
        </is>
      </c>
      <c r="B16" s="21">
        <f>B15+B12</f>
        <v/>
      </c>
      <c r="C16" s="2" t="n"/>
      <c r="D16" s="2" t="n"/>
      <c r="E16" s="2" t="n"/>
      <c r="F16" s="2" t="n"/>
      <c r="G16" s="2" t="n"/>
    </row>
    <row r="17">
      <c r="A17" s="5" t="inlineStr">
        <is>
          <t>Net cash / (debt)</t>
        </is>
      </c>
      <c r="B17" s="18">
        <f>Assumptions!B26</f>
        <v/>
      </c>
      <c r="C17" s="2" t="n"/>
      <c r="D17" s="2" t="n"/>
      <c r="E17" s="2" t="n"/>
      <c r="F17" s="2" t="n"/>
      <c r="G17" s="2" t="n"/>
    </row>
    <row r="18">
      <c r="A18" s="19" t="inlineStr">
        <is>
          <t>Equity value</t>
        </is>
      </c>
      <c r="B18" s="21">
        <f>B16+B17</f>
        <v/>
      </c>
      <c r="C18" s="2" t="n"/>
      <c r="D18" s="2" t="n"/>
      <c r="E18" s="2" t="n"/>
      <c r="F18" s="2" t="n"/>
      <c r="G18" s="2" t="n"/>
    </row>
    <row r="19">
      <c r="A19" s="5" t="inlineStr">
        <is>
          <t>Diluted shares (million)</t>
        </is>
      </c>
      <c r="B19" s="18">
        <f>Assumptions!B27</f>
        <v/>
      </c>
      <c r="C19" s="2" t="n"/>
      <c r="D19" s="2" t="n"/>
      <c r="E19" s="2" t="n"/>
      <c r="F19" s="2" t="n"/>
      <c r="G19" s="2" t="n"/>
    </row>
    <row r="20">
      <c r="A20" s="22" t="inlineStr">
        <is>
          <t>DCF value per share</t>
        </is>
      </c>
      <c r="B20" s="23">
        <f>B18/(B19/100)</f>
        <v/>
      </c>
      <c r="C20" s="2" t="n"/>
      <c r="D20" s="2" t="n"/>
      <c r="E20" s="2" t="n"/>
      <c r="F20" s="2" t="n"/>
      <c r="G20" s="2" t="n"/>
    </row>
    <row r="21">
      <c r="A21" s="5" t="inlineStr">
        <is>
          <t>Current share price</t>
        </is>
      </c>
      <c r="B21" s="18">
        <f>Assumptions!B28</f>
        <v/>
      </c>
      <c r="C21" s="2" t="n"/>
      <c r="D21" s="2" t="n"/>
      <c r="E21" s="2" t="n"/>
      <c r="F21" s="2" t="n"/>
      <c r="G21" s="2" t="n"/>
    </row>
    <row r="22">
      <c r="A22" s="22" t="inlineStr">
        <is>
          <t>Upside / (downside)</t>
        </is>
      </c>
      <c r="B22" s="24">
        <f>B20/B21-1</f>
        <v/>
      </c>
      <c r="C22" s="2" t="n"/>
      <c r="D22" s="2" t="n"/>
      <c r="E22" s="2" t="n"/>
      <c r="F22" s="2" t="n"/>
      <c r="G22" s="2" t="n"/>
    </row>
  </sheetData>
  <mergeCells count="1">
    <mergeCell ref="A1:G1"/>
  </mergeCells>
  <pageMargins left="0.75" right="0.75" top="1" bottom="1" header="0.5" footer="0.5"/>
  <pageSetup orientation="landscape" fitToHeight="0" fitToWidth="1"/>
  <headerFooter>
    <oddHeader/>
    <oddFooter>&amp;CEternal Limited | Confidential | Illustrative DCF&amp;RPage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F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30" customHeight="1">
      <c r="A1" s="1" t="inlineStr">
        <is>
          <t>Sensitivity: DCF Value Per Share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16" t="inlineStr">
        <is>
          <t>Terminal growth →</t>
        </is>
      </c>
      <c r="B3" s="25" t="n">
        <v>0.04</v>
      </c>
      <c r="C3" s="25" t="n">
        <v>0.05</v>
      </c>
      <c r="D3" s="25" t="n">
        <v>0.06</v>
      </c>
      <c r="E3" s="25" t="n">
        <v>0.07000000000000001</v>
      </c>
      <c r="F3" s="2" t="n"/>
    </row>
    <row r="4">
      <c r="A4" s="16" t="inlineStr">
        <is>
          <t>WACC ↓</t>
        </is>
      </c>
      <c r="B4" s="16" t="n"/>
      <c r="C4" s="16" t="n"/>
      <c r="D4" s="16" t="n"/>
      <c r="E4" s="16" t="n"/>
      <c r="F4" s="2" t="n"/>
    </row>
    <row r="5">
      <c r="A5" s="26" t="n">
        <v>0.12</v>
      </c>
      <c r="B5" s="27">
        <f>(SUM(DCF!C4/(1+$A5)^1,DCF!D4/(1+$A5)^2,DCF!E4/(1+$A5)^3,DCF!F4/(1+$A5)^4,DCF!G4/(1+$A5)^5)+(DCF!G4*(1+B$3)/($A5-B$3))/(1+$A5)^5+Assumptions!B26)/(Assumptions!B27/100)</f>
        <v/>
      </c>
      <c r="C5" s="27">
        <f>(SUM(DCF!C4/(1+$A5)^1,DCF!D4/(1+$A5)^2,DCF!E4/(1+$A5)^3,DCF!F4/(1+$A5)^4,DCF!G4/(1+$A5)^5)+(DCF!G4*(1+C$3)/($A5-C$3))/(1+$A5)^5+Assumptions!B26)/(Assumptions!B27/100)</f>
        <v/>
      </c>
      <c r="D5" s="27">
        <f>(SUM(DCF!C4/(1+$A5)^1,DCF!D4/(1+$A5)^2,DCF!E4/(1+$A5)^3,DCF!F4/(1+$A5)^4,DCF!G4/(1+$A5)^5)+(DCF!G4*(1+D$3)/($A5-D$3))/(1+$A5)^5+Assumptions!B26)/(Assumptions!B27/100)</f>
        <v/>
      </c>
      <c r="E5" s="27">
        <f>(SUM(DCF!C4/(1+$A5)^1,DCF!D4/(1+$A5)^2,DCF!E4/(1+$A5)^3,DCF!F4/(1+$A5)^4,DCF!G4/(1+$A5)^5)+(DCF!G4*(1+E$3)/($A5-E$3))/(1+$A5)^5+Assumptions!B26)/(Assumptions!B27/100)</f>
        <v/>
      </c>
      <c r="F5" s="2" t="n"/>
    </row>
    <row r="6">
      <c r="A6" s="26" t="n">
        <v>0.13</v>
      </c>
      <c r="B6" s="27">
        <f>(SUM(DCF!C4/(1+$A6)^1,DCF!D4/(1+$A6)^2,DCF!E4/(1+$A6)^3,DCF!F4/(1+$A6)^4,DCF!G4/(1+$A6)^5)+(DCF!G4*(1+B$3)/($A6-B$3))/(1+$A6)^5+Assumptions!B26)/(Assumptions!B27/100)</f>
        <v/>
      </c>
      <c r="C6" s="27">
        <f>(SUM(DCF!C4/(1+$A6)^1,DCF!D4/(1+$A6)^2,DCF!E4/(1+$A6)^3,DCF!F4/(1+$A6)^4,DCF!G4/(1+$A6)^5)+(DCF!G4*(1+C$3)/($A6-C$3))/(1+$A6)^5+Assumptions!B26)/(Assumptions!B27/100)</f>
        <v/>
      </c>
      <c r="D6" s="27">
        <f>(SUM(DCF!C4/(1+$A6)^1,DCF!D4/(1+$A6)^2,DCF!E4/(1+$A6)^3,DCF!F4/(1+$A6)^4,DCF!G4/(1+$A6)^5)+(DCF!G4*(1+D$3)/($A6-D$3))/(1+$A6)^5+Assumptions!B26)/(Assumptions!B27/100)</f>
        <v/>
      </c>
      <c r="E6" s="27">
        <f>(SUM(DCF!C4/(1+$A6)^1,DCF!D4/(1+$A6)^2,DCF!E4/(1+$A6)^3,DCF!F4/(1+$A6)^4,DCF!G4/(1+$A6)^5)+(DCF!G4*(1+E$3)/($A6-E$3))/(1+$A6)^5+Assumptions!B26)/(Assumptions!B27/100)</f>
        <v/>
      </c>
      <c r="F6" s="2" t="n"/>
    </row>
    <row r="7">
      <c r="A7" s="26" t="n">
        <v>0.1405</v>
      </c>
      <c r="B7" s="27">
        <f>(SUM(DCF!C4/(1+$A7)^1,DCF!D4/(1+$A7)^2,DCF!E4/(1+$A7)^3,DCF!F4/(1+$A7)^4,DCF!G4/(1+$A7)^5)+(DCF!G4*(1+B$3)/($A7-B$3))/(1+$A7)^5+Assumptions!B26)/(Assumptions!B27/100)</f>
        <v/>
      </c>
      <c r="C7" s="27">
        <f>(SUM(DCF!C4/(1+$A7)^1,DCF!D4/(1+$A7)^2,DCF!E4/(1+$A7)^3,DCF!F4/(1+$A7)^4,DCF!G4/(1+$A7)^5)+(DCF!G4*(1+C$3)/($A7-C$3))/(1+$A7)^5+Assumptions!B26)/(Assumptions!B27/100)</f>
        <v/>
      </c>
      <c r="D7" s="27">
        <f>(SUM(DCF!C4/(1+$A7)^1,DCF!D4/(1+$A7)^2,DCF!E4/(1+$A7)^3,DCF!F4/(1+$A7)^4,DCF!G4/(1+$A7)^5)+(DCF!G4*(1+D$3)/($A7-D$3))/(1+$A7)^5+Assumptions!B26)/(Assumptions!B27/100)</f>
        <v/>
      </c>
      <c r="E7" s="27">
        <f>(SUM(DCF!C4/(1+$A7)^1,DCF!D4/(1+$A7)^2,DCF!E4/(1+$A7)^3,DCF!F4/(1+$A7)^4,DCF!G4/(1+$A7)^5)+(DCF!G4*(1+E$3)/($A7-E$3))/(1+$A7)^5+Assumptions!B26)/(Assumptions!B27/100)</f>
        <v/>
      </c>
      <c r="F7" s="2" t="n"/>
    </row>
    <row r="8">
      <c r="A8" s="26" t="n">
        <v>0.15</v>
      </c>
      <c r="B8" s="27">
        <f>(SUM(DCF!C4/(1+$A8)^1,DCF!D4/(1+$A8)^2,DCF!E4/(1+$A8)^3,DCF!F4/(1+$A8)^4,DCF!G4/(1+$A8)^5)+(DCF!G4*(1+B$3)/($A8-B$3))/(1+$A8)^5+Assumptions!B26)/(Assumptions!B27/100)</f>
        <v/>
      </c>
      <c r="C8" s="27">
        <f>(SUM(DCF!C4/(1+$A8)^1,DCF!D4/(1+$A8)^2,DCF!E4/(1+$A8)^3,DCF!F4/(1+$A8)^4,DCF!G4/(1+$A8)^5)+(DCF!G4*(1+C$3)/($A8-C$3))/(1+$A8)^5+Assumptions!B26)/(Assumptions!B27/100)</f>
        <v/>
      </c>
      <c r="D8" s="27">
        <f>(SUM(DCF!C4/(1+$A8)^1,DCF!D4/(1+$A8)^2,DCF!E4/(1+$A8)^3,DCF!F4/(1+$A8)^4,DCF!G4/(1+$A8)^5)+(DCF!G4*(1+D$3)/($A8-D$3))/(1+$A8)^5+Assumptions!B26)/(Assumptions!B27/100)</f>
        <v/>
      </c>
      <c r="E8" s="27">
        <f>(SUM(DCF!C4/(1+$A8)^1,DCF!D4/(1+$A8)^2,DCF!E4/(1+$A8)^3,DCF!F4/(1+$A8)^4,DCF!G4/(1+$A8)^5)+(DCF!G4*(1+E$3)/($A8-E$3))/(1+$A8)^5+Assumptions!B26)/(Assumptions!B27/100)</f>
        <v/>
      </c>
      <c r="F8" s="2" t="n"/>
    </row>
    <row r="9">
      <c r="A9" s="26" t="n">
        <v>0.16</v>
      </c>
      <c r="B9" s="27">
        <f>(SUM(DCF!C4/(1+$A9)^1,DCF!D4/(1+$A9)^2,DCF!E4/(1+$A9)^3,DCF!F4/(1+$A9)^4,DCF!G4/(1+$A9)^5)+(DCF!G4*(1+B$3)/($A9-B$3))/(1+$A9)^5+Assumptions!B26)/(Assumptions!B27/100)</f>
        <v/>
      </c>
      <c r="C9" s="27">
        <f>(SUM(DCF!C4/(1+$A9)^1,DCF!D4/(1+$A9)^2,DCF!E4/(1+$A9)^3,DCF!F4/(1+$A9)^4,DCF!G4/(1+$A9)^5)+(DCF!G4*(1+C$3)/($A9-C$3))/(1+$A9)^5+Assumptions!B26)/(Assumptions!B27/100)</f>
        <v/>
      </c>
      <c r="D9" s="27">
        <f>(SUM(DCF!C4/(1+$A9)^1,DCF!D4/(1+$A9)^2,DCF!E4/(1+$A9)^3,DCF!F4/(1+$A9)^4,DCF!G4/(1+$A9)^5)+(DCF!G4*(1+D$3)/($A9-D$3))/(1+$A9)^5+Assumptions!B26)/(Assumptions!B27/100)</f>
        <v/>
      </c>
      <c r="E9" s="27">
        <f>(SUM(DCF!C4/(1+$A9)^1,DCF!D4/(1+$A9)^2,DCF!E4/(1+$A9)^3,DCF!F4/(1+$A9)^4,DCF!G4/(1+$A9)^5)+(DCF!G4*(1+E$3)/($A9-E$3))/(1+$A9)^5+Assumptions!B26)/(Assumptions!B27/100)</f>
        <v/>
      </c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Interpretation</t>
        </is>
      </c>
      <c r="B12" s="2" t="n"/>
      <c r="C12" s="2" t="n"/>
      <c r="D12" s="2" t="n"/>
      <c r="E12" s="2" t="n"/>
      <c r="F12" s="2" t="n"/>
    </row>
    <row r="13">
      <c r="A13" s="28" t="inlineStr">
        <is>
          <t>Higher terminal growth and lower WACC increase the DCF value per share. The model is intentionally transparent: users can replace operating assumptions with company disclosures or research estimates.</t>
        </is>
      </c>
      <c r="B13" s="2" t="n"/>
      <c r="C13" s="2" t="n"/>
      <c r="D13" s="2" t="n"/>
      <c r="E13" s="2" t="n"/>
      <c r="F13" s="2" t="n"/>
    </row>
  </sheetData>
  <mergeCells count="1">
    <mergeCell ref="A1:F1"/>
  </mergeCells>
  <pageMargins left="0.75" right="0.75" top="1" bottom="1" header="0.5" footer="0.5"/>
  <pageSetup orientation="landscape" fitToHeight="0" fitToWidth="1"/>
  <headerFooter>
    <oddHeader/>
    <oddFooter>&amp;CEternal Limited | Confidential | Illustrative DCF&amp;RPage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2026-08-17T20:00:34Z</dcterms:created>
  <dcterms:modified xmlns:dcterms="http://purl.org/dc/terms/" xmlns:xsi="http://www.w3.org/2001/XMLSchema-instance" xsi:type="dcterms:W3CDTF">2026-08-17T20:00:34Z</dcterms:modified>
</cp:coreProperties>
</file>