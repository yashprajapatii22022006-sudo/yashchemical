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5aebfcc23394406/Desktop/"/>
    </mc:Choice>
  </mc:AlternateContent>
  <xr:revisionPtr revIDLastSave="1" documentId="11_DE54FB3EECB2490220F03CF7D74710B90FCB1AE3" xr6:coauthVersionLast="47" xr6:coauthVersionMax="47" xr10:uidLastSave="{49B0734E-EE2F-4B89-95B8-8B6C035748FE}"/>
  <bookViews>
    <workbookView xWindow="-108" yWindow="-108" windowWidth="23256" windowHeight="13896" activeTab="1" xr2:uid="{00000000-000D-0000-FFFF-FFFF00000000}"/>
  </bookViews>
  <sheets>
    <sheet name="Raw Data" sheetId="1" r:id="rId1"/>
    <sheet name="RFM Calculations" sheetId="2" r:id="rId2"/>
    <sheet name="Dashboard" sheetId="3" r:id="rId3"/>
    <sheet name="Recommendations" sheetId="4" r:id="rId4"/>
    <sheet name="Formulas Reference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5" l="1"/>
  <c r="D6" i="5"/>
  <c r="D5" i="5"/>
  <c r="D4" i="5"/>
  <c r="A4" i="3"/>
  <c r="E101" i="2"/>
  <c r="F101" i="2" s="1"/>
  <c r="D101" i="2"/>
  <c r="H101" i="2" s="1"/>
  <c r="C101" i="2"/>
  <c r="G101" i="2" s="1"/>
  <c r="B101" i="2"/>
  <c r="A101" i="2"/>
  <c r="E100" i="2"/>
  <c r="F100" i="2" s="1"/>
  <c r="D100" i="2"/>
  <c r="H100" i="2" s="1"/>
  <c r="C100" i="2"/>
  <c r="G100" i="2" s="1"/>
  <c r="B100" i="2"/>
  <c r="A100" i="2"/>
  <c r="E99" i="2"/>
  <c r="F99" i="2" s="1"/>
  <c r="D99" i="2"/>
  <c r="H99" i="2" s="1"/>
  <c r="C99" i="2"/>
  <c r="G99" i="2" s="1"/>
  <c r="B99" i="2"/>
  <c r="A99" i="2"/>
  <c r="E98" i="2"/>
  <c r="F98" i="2" s="1"/>
  <c r="D98" i="2"/>
  <c r="H98" i="2" s="1"/>
  <c r="C98" i="2"/>
  <c r="G98" i="2" s="1"/>
  <c r="B98" i="2"/>
  <c r="A98" i="2"/>
  <c r="E97" i="2"/>
  <c r="F97" i="2" s="1"/>
  <c r="D97" i="2"/>
  <c r="H97" i="2" s="1"/>
  <c r="C97" i="2"/>
  <c r="G97" i="2" s="1"/>
  <c r="B97" i="2"/>
  <c r="A97" i="2"/>
  <c r="E96" i="2"/>
  <c r="F96" i="2" s="1"/>
  <c r="D96" i="2"/>
  <c r="H96" i="2" s="1"/>
  <c r="C96" i="2"/>
  <c r="G96" i="2" s="1"/>
  <c r="B96" i="2"/>
  <c r="A96" i="2"/>
  <c r="E95" i="2"/>
  <c r="F95" i="2" s="1"/>
  <c r="D95" i="2"/>
  <c r="C95" i="2"/>
  <c r="B95" i="2"/>
  <c r="A95" i="2"/>
  <c r="H94" i="2"/>
  <c r="G94" i="2"/>
  <c r="E94" i="2"/>
  <c r="F94" i="2" s="1"/>
  <c r="I94" i="2" s="1"/>
  <c r="J94" i="2" s="1"/>
  <c r="D94" i="2"/>
  <c r="C94" i="2"/>
  <c r="B94" i="2"/>
  <c r="A94" i="2"/>
  <c r="E93" i="2"/>
  <c r="F93" i="2" s="1"/>
  <c r="D93" i="2"/>
  <c r="H93" i="2" s="1"/>
  <c r="C93" i="2"/>
  <c r="G93" i="2" s="1"/>
  <c r="B93" i="2"/>
  <c r="A93" i="2"/>
  <c r="E92" i="2"/>
  <c r="F92" i="2" s="1"/>
  <c r="D92" i="2"/>
  <c r="H92" i="2" s="1"/>
  <c r="C92" i="2"/>
  <c r="G92" i="2" s="1"/>
  <c r="B92" i="2"/>
  <c r="A92" i="2"/>
  <c r="E91" i="2"/>
  <c r="F91" i="2" s="1"/>
  <c r="D91" i="2"/>
  <c r="H91" i="2" s="1"/>
  <c r="C91" i="2"/>
  <c r="G91" i="2" s="1"/>
  <c r="B91" i="2"/>
  <c r="A91" i="2"/>
  <c r="E90" i="2"/>
  <c r="F90" i="2" s="1"/>
  <c r="D90" i="2"/>
  <c r="H90" i="2" s="1"/>
  <c r="C90" i="2"/>
  <c r="G90" i="2" s="1"/>
  <c r="B90" i="2"/>
  <c r="A90" i="2"/>
  <c r="E89" i="2"/>
  <c r="F89" i="2" s="1"/>
  <c r="D89" i="2"/>
  <c r="H89" i="2" s="1"/>
  <c r="C89" i="2"/>
  <c r="G89" i="2" s="1"/>
  <c r="B89" i="2"/>
  <c r="A89" i="2"/>
  <c r="E88" i="2"/>
  <c r="F88" i="2" s="1"/>
  <c r="D88" i="2"/>
  <c r="H88" i="2" s="1"/>
  <c r="C88" i="2"/>
  <c r="G88" i="2" s="1"/>
  <c r="B88" i="2"/>
  <c r="A88" i="2"/>
  <c r="E87" i="2"/>
  <c r="F87" i="2" s="1"/>
  <c r="D87" i="2"/>
  <c r="H87" i="2" s="1"/>
  <c r="C87" i="2"/>
  <c r="G87" i="2" s="1"/>
  <c r="B87" i="2"/>
  <c r="A87" i="2"/>
  <c r="E86" i="2"/>
  <c r="F86" i="2" s="1"/>
  <c r="D86" i="2"/>
  <c r="H86" i="2" s="1"/>
  <c r="C86" i="2"/>
  <c r="G86" i="2" s="1"/>
  <c r="B86" i="2"/>
  <c r="A86" i="2"/>
  <c r="E85" i="2"/>
  <c r="F85" i="2" s="1"/>
  <c r="D85" i="2"/>
  <c r="H85" i="2" s="1"/>
  <c r="C85" i="2"/>
  <c r="G85" i="2" s="1"/>
  <c r="B85" i="2"/>
  <c r="A85" i="2"/>
  <c r="E84" i="2"/>
  <c r="F84" i="2" s="1"/>
  <c r="D84" i="2"/>
  <c r="H84" i="2" s="1"/>
  <c r="C84" i="2"/>
  <c r="G84" i="2" s="1"/>
  <c r="B84" i="2"/>
  <c r="A84" i="2"/>
  <c r="E83" i="2"/>
  <c r="F83" i="2" s="1"/>
  <c r="D83" i="2"/>
  <c r="H83" i="2" s="1"/>
  <c r="C83" i="2"/>
  <c r="G83" i="2" s="1"/>
  <c r="B83" i="2"/>
  <c r="A83" i="2"/>
  <c r="E82" i="2"/>
  <c r="F82" i="2" s="1"/>
  <c r="D82" i="2"/>
  <c r="H82" i="2" s="1"/>
  <c r="C82" i="2"/>
  <c r="G82" i="2" s="1"/>
  <c r="B82" i="2"/>
  <c r="A82" i="2"/>
  <c r="E81" i="2"/>
  <c r="F81" i="2" s="1"/>
  <c r="D81" i="2"/>
  <c r="H81" i="2" s="1"/>
  <c r="C81" i="2"/>
  <c r="G81" i="2" s="1"/>
  <c r="B81" i="2"/>
  <c r="A81" i="2"/>
  <c r="E80" i="2"/>
  <c r="F80" i="2" s="1"/>
  <c r="D80" i="2"/>
  <c r="H80" i="2" s="1"/>
  <c r="C80" i="2"/>
  <c r="G80" i="2" s="1"/>
  <c r="B80" i="2"/>
  <c r="A80" i="2"/>
  <c r="E79" i="2"/>
  <c r="F79" i="2" s="1"/>
  <c r="D79" i="2"/>
  <c r="H79" i="2" s="1"/>
  <c r="C79" i="2"/>
  <c r="G79" i="2" s="1"/>
  <c r="B79" i="2"/>
  <c r="A79" i="2"/>
  <c r="E78" i="2"/>
  <c r="F78" i="2" s="1"/>
  <c r="D78" i="2"/>
  <c r="H78" i="2" s="1"/>
  <c r="C78" i="2"/>
  <c r="G78" i="2" s="1"/>
  <c r="B78" i="2"/>
  <c r="A78" i="2"/>
  <c r="E77" i="2"/>
  <c r="F77" i="2" s="1"/>
  <c r="D77" i="2"/>
  <c r="H77" i="2" s="1"/>
  <c r="C77" i="2"/>
  <c r="G77" i="2" s="1"/>
  <c r="B77" i="2"/>
  <c r="A77" i="2"/>
  <c r="E76" i="2"/>
  <c r="F76" i="2" s="1"/>
  <c r="D76" i="2"/>
  <c r="H76" i="2" s="1"/>
  <c r="C76" i="2"/>
  <c r="G76" i="2" s="1"/>
  <c r="B76" i="2"/>
  <c r="A76" i="2"/>
  <c r="E75" i="2"/>
  <c r="F75" i="2" s="1"/>
  <c r="D75" i="2"/>
  <c r="H75" i="2" s="1"/>
  <c r="C75" i="2"/>
  <c r="G75" i="2" s="1"/>
  <c r="B75" i="2"/>
  <c r="A75" i="2"/>
  <c r="E74" i="2"/>
  <c r="F74" i="2" s="1"/>
  <c r="D74" i="2"/>
  <c r="H74" i="2" s="1"/>
  <c r="C74" i="2"/>
  <c r="G74" i="2" s="1"/>
  <c r="B74" i="2"/>
  <c r="A74" i="2"/>
  <c r="E73" i="2"/>
  <c r="F73" i="2" s="1"/>
  <c r="D73" i="2"/>
  <c r="H73" i="2" s="1"/>
  <c r="C73" i="2"/>
  <c r="G73" i="2" s="1"/>
  <c r="B73" i="2"/>
  <c r="A73" i="2"/>
  <c r="E72" i="2"/>
  <c r="F72" i="2" s="1"/>
  <c r="D72" i="2"/>
  <c r="H72" i="2" s="1"/>
  <c r="C72" i="2"/>
  <c r="G72" i="2" s="1"/>
  <c r="B72" i="2"/>
  <c r="A72" i="2"/>
  <c r="E71" i="2"/>
  <c r="F71" i="2" s="1"/>
  <c r="D71" i="2"/>
  <c r="H71" i="2" s="1"/>
  <c r="C71" i="2"/>
  <c r="G71" i="2" s="1"/>
  <c r="B71" i="2"/>
  <c r="A71" i="2"/>
  <c r="E70" i="2"/>
  <c r="F70" i="2" s="1"/>
  <c r="D70" i="2"/>
  <c r="H70" i="2" s="1"/>
  <c r="C70" i="2"/>
  <c r="G70" i="2" s="1"/>
  <c r="B70" i="2"/>
  <c r="A70" i="2"/>
  <c r="E69" i="2"/>
  <c r="F69" i="2" s="1"/>
  <c r="D69" i="2"/>
  <c r="H69" i="2" s="1"/>
  <c r="C69" i="2"/>
  <c r="G69" i="2" s="1"/>
  <c r="B69" i="2"/>
  <c r="A69" i="2"/>
  <c r="E68" i="2"/>
  <c r="F68" i="2" s="1"/>
  <c r="D68" i="2"/>
  <c r="H68" i="2" s="1"/>
  <c r="C68" i="2"/>
  <c r="G68" i="2" s="1"/>
  <c r="B68" i="2"/>
  <c r="A68" i="2"/>
  <c r="E67" i="2"/>
  <c r="F67" i="2" s="1"/>
  <c r="D67" i="2"/>
  <c r="H67" i="2" s="1"/>
  <c r="C67" i="2"/>
  <c r="G67" i="2" s="1"/>
  <c r="B67" i="2"/>
  <c r="A67" i="2"/>
  <c r="E66" i="2"/>
  <c r="F66" i="2" s="1"/>
  <c r="D66" i="2"/>
  <c r="H66" i="2" s="1"/>
  <c r="C66" i="2"/>
  <c r="G66" i="2" s="1"/>
  <c r="B66" i="2"/>
  <c r="A66" i="2"/>
  <c r="E65" i="2"/>
  <c r="F65" i="2" s="1"/>
  <c r="D65" i="2"/>
  <c r="H65" i="2" s="1"/>
  <c r="C65" i="2"/>
  <c r="G65" i="2" s="1"/>
  <c r="B65" i="2"/>
  <c r="A65" i="2"/>
  <c r="E64" i="2"/>
  <c r="F64" i="2" s="1"/>
  <c r="D64" i="2"/>
  <c r="H64" i="2" s="1"/>
  <c r="C64" i="2"/>
  <c r="G64" i="2" s="1"/>
  <c r="B64" i="2"/>
  <c r="A64" i="2"/>
  <c r="E63" i="2"/>
  <c r="F63" i="2" s="1"/>
  <c r="D63" i="2"/>
  <c r="H63" i="2" s="1"/>
  <c r="C63" i="2"/>
  <c r="G63" i="2" s="1"/>
  <c r="B63" i="2"/>
  <c r="A63" i="2"/>
  <c r="E62" i="2"/>
  <c r="F62" i="2" s="1"/>
  <c r="D62" i="2"/>
  <c r="H62" i="2" s="1"/>
  <c r="C62" i="2"/>
  <c r="G62" i="2" s="1"/>
  <c r="B62" i="2"/>
  <c r="A62" i="2"/>
  <c r="E61" i="2"/>
  <c r="F61" i="2" s="1"/>
  <c r="D61" i="2"/>
  <c r="H61" i="2" s="1"/>
  <c r="C61" i="2"/>
  <c r="G61" i="2" s="1"/>
  <c r="B61" i="2"/>
  <c r="A61" i="2"/>
  <c r="E60" i="2"/>
  <c r="F60" i="2" s="1"/>
  <c r="D60" i="2"/>
  <c r="H60" i="2" s="1"/>
  <c r="C60" i="2"/>
  <c r="G60" i="2" s="1"/>
  <c r="B60" i="2"/>
  <c r="A60" i="2"/>
  <c r="E59" i="2"/>
  <c r="F59" i="2" s="1"/>
  <c r="D59" i="2"/>
  <c r="H59" i="2" s="1"/>
  <c r="C59" i="2"/>
  <c r="G59" i="2" s="1"/>
  <c r="B59" i="2"/>
  <c r="A59" i="2"/>
  <c r="E58" i="2"/>
  <c r="F58" i="2" s="1"/>
  <c r="D58" i="2"/>
  <c r="H58" i="2" s="1"/>
  <c r="C58" i="2"/>
  <c r="G58" i="2" s="1"/>
  <c r="B58" i="2"/>
  <c r="A58" i="2"/>
  <c r="E57" i="2"/>
  <c r="F57" i="2" s="1"/>
  <c r="D57" i="2"/>
  <c r="H57" i="2" s="1"/>
  <c r="C57" i="2"/>
  <c r="G57" i="2" s="1"/>
  <c r="B57" i="2"/>
  <c r="A57" i="2"/>
  <c r="E56" i="2"/>
  <c r="F56" i="2" s="1"/>
  <c r="D56" i="2"/>
  <c r="H56" i="2" s="1"/>
  <c r="C56" i="2"/>
  <c r="G56" i="2" s="1"/>
  <c r="B56" i="2"/>
  <c r="A56" i="2"/>
  <c r="E55" i="2"/>
  <c r="F55" i="2" s="1"/>
  <c r="D55" i="2"/>
  <c r="H55" i="2" s="1"/>
  <c r="C55" i="2"/>
  <c r="G55" i="2" s="1"/>
  <c r="B55" i="2"/>
  <c r="A55" i="2"/>
  <c r="E54" i="2"/>
  <c r="F54" i="2" s="1"/>
  <c r="D54" i="2"/>
  <c r="H54" i="2" s="1"/>
  <c r="C54" i="2"/>
  <c r="G54" i="2" s="1"/>
  <c r="B54" i="2"/>
  <c r="A54" i="2"/>
  <c r="E53" i="2"/>
  <c r="F53" i="2" s="1"/>
  <c r="D53" i="2"/>
  <c r="H53" i="2" s="1"/>
  <c r="C53" i="2"/>
  <c r="G53" i="2" s="1"/>
  <c r="B53" i="2"/>
  <c r="A53" i="2"/>
  <c r="E52" i="2"/>
  <c r="F52" i="2" s="1"/>
  <c r="D52" i="2"/>
  <c r="H52" i="2" s="1"/>
  <c r="C52" i="2"/>
  <c r="G52" i="2" s="1"/>
  <c r="B52" i="2"/>
  <c r="A52" i="2"/>
  <c r="E51" i="2"/>
  <c r="F51" i="2" s="1"/>
  <c r="D51" i="2"/>
  <c r="H51" i="2" s="1"/>
  <c r="C51" i="2"/>
  <c r="G51" i="2" s="1"/>
  <c r="B51" i="2"/>
  <c r="A51" i="2"/>
  <c r="E50" i="2"/>
  <c r="F50" i="2" s="1"/>
  <c r="D50" i="2"/>
  <c r="H50" i="2" s="1"/>
  <c r="C50" i="2"/>
  <c r="G50" i="2" s="1"/>
  <c r="B50" i="2"/>
  <c r="A50" i="2"/>
  <c r="E49" i="2"/>
  <c r="F49" i="2" s="1"/>
  <c r="D49" i="2"/>
  <c r="H49" i="2" s="1"/>
  <c r="C49" i="2"/>
  <c r="G49" i="2" s="1"/>
  <c r="B49" i="2"/>
  <c r="A49" i="2"/>
  <c r="E48" i="2"/>
  <c r="F48" i="2" s="1"/>
  <c r="D48" i="2"/>
  <c r="H48" i="2" s="1"/>
  <c r="C48" i="2"/>
  <c r="G48" i="2" s="1"/>
  <c r="B48" i="2"/>
  <c r="A48" i="2"/>
  <c r="E47" i="2"/>
  <c r="F47" i="2" s="1"/>
  <c r="D47" i="2"/>
  <c r="H47" i="2" s="1"/>
  <c r="C47" i="2"/>
  <c r="G47" i="2" s="1"/>
  <c r="B47" i="2"/>
  <c r="A47" i="2"/>
  <c r="E46" i="2"/>
  <c r="F46" i="2" s="1"/>
  <c r="D46" i="2"/>
  <c r="H46" i="2" s="1"/>
  <c r="C46" i="2"/>
  <c r="G46" i="2" s="1"/>
  <c r="B46" i="2"/>
  <c r="A46" i="2"/>
  <c r="E45" i="2"/>
  <c r="F45" i="2" s="1"/>
  <c r="D45" i="2"/>
  <c r="H45" i="2" s="1"/>
  <c r="C45" i="2"/>
  <c r="G45" i="2" s="1"/>
  <c r="B45" i="2"/>
  <c r="A45" i="2"/>
  <c r="E44" i="2"/>
  <c r="F44" i="2" s="1"/>
  <c r="D44" i="2"/>
  <c r="H44" i="2" s="1"/>
  <c r="C44" i="2"/>
  <c r="G44" i="2" s="1"/>
  <c r="B44" i="2"/>
  <c r="A44" i="2"/>
  <c r="E43" i="2"/>
  <c r="F43" i="2" s="1"/>
  <c r="D43" i="2"/>
  <c r="H43" i="2" s="1"/>
  <c r="C43" i="2"/>
  <c r="G43" i="2" s="1"/>
  <c r="B43" i="2"/>
  <c r="A43" i="2"/>
  <c r="E42" i="2"/>
  <c r="F42" i="2" s="1"/>
  <c r="D42" i="2"/>
  <c r="H42" i="2" s="1"/>
  <c r="C42" i="2"/>
  <c r="G42" i="2" s="1"/>
  <c r="B42" i="2"/>
  <c r="A42" i="2"/>
  <c r="E41" i="2"/>
  <c r="F41" i="2" s="1"/>
  <c r="D41" i="2"/>
  <c r="H41" i="2" s="1"/>
  <c r="C41" i="2"/>
  <c r="G41" i="2" s="1"/>
  <c r="B41" i="2"/>
  <c r="A41" i="2"/>
  <c r="E40" i="2"/>
  <c r="F40" i="2" s="1"/>
  <c r="D40" i="2"/>
  <c r="H40" i="2" s="1"/>
  <c r="C40" i="2"/>
  <c r="G40" i="2" s="1"/>
  <c r="B40" i="2"/>
  <c r="A40" i="2"/>
  <c r="E39" i="2"/>
  <c r="F39" i="2" s="1"/>
  <c r="D39" i="2"/>
  <c r="H39" i="2" s="1"/>
  <c r="C39" i="2"/>
  <c r="G39" i="2" s="1"/>
  <c r="B39" i="2"/>
  <c r="A39" i="2"/>
  <c r="E38" i="2"/>
  <c r="F38" i="2" s="1"/>
  <c r="D38" i="2"/>
  <c r="H38" i="2" s="1"/>
  <c r="C38" i="2"/>
  <c r="G38" i="2" s="1"/>
  <c r="B38" i="2"/>
  <c r="A38" i="2"/>
  <c r="E37" i="2"/>
  <c r="F37" i="2" s="1"/>
  <c r="D37" i="2"/>
  <c r="H37" i="2" s="1"/>
  <c r="C37" i="2"/>
  <c r="G37" i="2" s="1"/>
  <c r="B37" i="2"/>
  <c r="A37" i="2"/>
  <c r="E36" i="2"/>
  <c r="F36" i="2" s="1"/>
  <c r="D36" i="2"/>
  <c r="H36" i="2" s="1"/>
  <c r="C36" i="2"/>
  <c r="G36" i="2" s="1"/>
  <c r="B36" i="2"/>
  <c r="A36" i="2"/>
  <c r="E35" i="2"/>
  <c r="F35" i="2" s="1"/>
  <c r="D35" i="2"/>
  <c r="H35" i="2" s="1"/>
  <c r="C35" i="2"/>
  <c r="G35" i="2" s="1"/>
  <c r="B35" i="2"/>
  <c r="A35" i="2"/>
  <c r="E34" i="2"/>
  <c r="F34" i="2" s="1"/>
  <c r="D34" i="2"/>
  <c r="H34" i="2" s="1"/>
  <c r="C34" i="2"/>
  <c r="G34" i="2" s="1"/>
  <c r="B34" i="2"/>
  <c r="A34" i="2"/>
  <c r="E33" i="2"/>
  <c r="F33" i="2" s="1"/>
  <c r="D33" i="2"/>
  <c r="H33" i="2" s="1"/>
  <c r="C33" i="2"/>
  <c r="G33" i="2" s="1"/>
  <c r="B33" i="2"/>
  <c r="A33" i="2"/>
  <c r="E32" i="2"/>
  <c r="F32" i="2" s="1"/>
  <c r="D32" i="2"/>
  <c r="H32" i="2" s="1"/>
  <c r="C32" i="2"/>
  <c r="G32" i="2" s="1"/>
  <c r="B32" i="2"/>
  <c r="A32" i="2"/>
  <c r="E31" i="2"/>
  <c r="F31" i="2" s="1"/>
  <c r="D31" i="2"/>
  <c r="H31" i="2" s="1"/>
  <c r="C31" i="2"/>
  <c r="G31" i="2" s="1"/>
  <c r="B31" i="2"/>
  <c r="A31" i="2"/>
  <c r="E30" i="2"/>
  <c r="F30" i="2" s="1"/>
  <c r="D30" i="2"/>
  <c r="H30" i="2" s="1"/>
  <c r="C30" i="2"/>
  <c r="G30" i="2" s="1"/>
  <c r="B30" i="2"/>
  <c r="A30" i="2"/>
  <c r="E29" i="2"/>
  <c r="F29" i="2" s="1"/>
  <c r="D29" i="2"/>
  <c r="H29" i="2" s="1"/>
  <c r="C29" i="2"/>
  <c r="G29" i="2" s="1"/>
  <c r="B29" i="2"/>
  <c r="A29" i="2"/>
  <c r="E28" i="2"/>
  <c r="F28" i="2" s="1"/>
  <c r="D28" i="2"/>
  <c r="H28" i="2" s="1"/>
  <c r="C28" i="2"/>
  <c r="G28" i="2" s="1"/>
  <c r="B28" i="2"/>
  <c r="A28" i="2"/>
  <c r="E27" i="2"/>
  <c r="F27" i="2" s="1"/>
  <c r="D27" i="2"/>
  <c r="H27" i="2" s="1"/>
  <c r="C27" i="2"/>
  <c r="G27" i="2" s="1"/>
  <c r="B27" i="2"/>
  <c r="A27" i="2"/>
  <c r="E26" i="2"/>
  <c r="F26" i="2" s="1"/>
  <c r="D26" i="2"/>
  <c r="H26" i="2" s="1"/>
  <c r="C26" i="2"/>
  <c r="G26" i="2" s="1"/>
  <c r="B26" i="2"/>
  <c r="A26" i="2"/>
  <c r="E25" i="2"/>
  <c r="F25" i="2" s="1"/>
  <c r="D25" i="2"/>
  <c r="H25" i="2" s="1"/>
  <c r="C25" i="2"/>
  <c r="G25" i="2" s="1"/>
  <c r="B25" i="2"/>
  <c r="A25" i="2"/>
  <c r="E24" i="2"/>
  <c r="F24" i="2" s="1"/>
  <c r="D24" i="2"/>
  <c r="H24" i="2" s="1"/>
  <c r="C24" i="2"/>
  <c r="G24" i="2" s="1"/>
  <c r="B24" i="2"/>
  <c r="A24" i="2"/>
  <c r="E23" i="2"/>
  <c r="F23" i="2" s="1"/>
  <c r="D23" i="2"/>
  <c r="H23" i="2" s="1"/>
  <c r="C23" i="2"/>
  <c r="G23" i="2" s="1"/>
  <c r="B23" i="2"/>
  <c r="A23" i="2"/>
  <c r="E22" i="2"/>
  <c r="F22" i="2" s="1"/>
  <c r="D22" i="2"/>
  <c r="H22" i="2" s="1"/>
  <c r="C22" i="2"/>
  <c r="G22" i="2" s="1"/>
  <c r="B22" i="2"/>
  <c r="A22" i="2"/>
  <c r="E21" i="2"/>
  <c r="F21" i="2" s="1"/>
  <c r="D21" i="2"/>
  <c r="H21" i="2" s="1"/>
  <c r="C21" i="2"/>
  <c r="G21" i="2" s="1"/>
  <c r="B21" i="2"/>
  <c r="A21" i="2"/>
  <c r="E20" i="2"/>
  <c r="F20" i="2" s="1"/>
  <c r="D20" i="2"/>
  <c r="H20" i="2" s="1"/>
  <c r="C20" i="2"/>
  <c r="G20" i="2" s="1"/>
  <c r="B20" i="2"/>
  <c r="A20" i="2"/>
  <c r="E19" i="2"/>
  <c r="F19" i="2" s="1"/>
  <c r="D19" i="2"/>
  <c r="H19" i="2" s="1"/>
  <c r="C19" i="2"/>
  <c r="G19" i="2" s="1"/>
  <c r="B19" i="2"/>
  <c r="A19" i="2"/>
  <c r="E18" i="2"/>
  <c r="F18" i="2" s="1"/>
  <c r="D18" i="2"/>
  <c r="H18" i="2" s="1"/>
  <c r="C18" i="2"/>
  <c r="G18" i="2" s="1"/>
  <c r="B18" i="2"/>
  <c r="A18" i="2"/>
  <c r="E17" i="2"/>
  <c r="F17" i="2" s="1"/>
  <c r="D17" i="2"/>
  <c r="H17" i="2" s="1"/>
  <c r="C17" i="2"/>
  <c r="G17" i="2" s="1"/>
  <c r="B17" i="2"/>
  <c r="A17" i="2"/>
  <c r="E16" i="2"/>
  <c r="F16" i="2" s="1"/>
  <c r="D16" i="2"/>
  <c r="H16" i="2" s="1"/>
  <c r="C16" i="2"/>
  <c r="G16" i="2" s="1"/>
  <c r="B16" i="2"/>
  <c r="A16" i="2"/>
  <c r="E15" i="2"/>
  <c r="F15" i="2" s="1"/>
  <c r="D15" i="2"/>
  <c r="H15" i="2" s="1"/>
  <c r="C15" i="2"/>
  <c r="G15" i="2" s="1"/>
  <c r="B15" i="2"/>
  <c r="A15" i="2"/>
  <c r="E14" i="2"/>
  <c r="F14" i="2" s="1"/>
  <c r="D14" i="2"/>
  <c r="H14" i="2" s="1"/>
  <c r="C14" i="2"/>
  <c r="G14" i="2" s="1"/>
  <c r="B14" i="2"/>
  <c r="A14" i="2"/>
  <c r="E13" i="2"/>
  <c r="F13" i="2" s="1"/>
  <c r="D13" i="2"/>
  <c r="H13" i="2" s="1"/>
  <c r="C13" i="2"/>
  <c r="G13" i="2" s="1"/>
  <c r="B13" i="2"/>
  <c r="A13" i="2"/>
  <c r="E12" i="2"/>
  <c r="F12" i="2" s="1"/>
  <c r="D12" i="2"/>
  <c r="H12" i="2" s="1"/>
  <c r="C12" i="2"/>
  <c r="G12" i="2" s="1"/>
  <c r="B12" i="2"/>
  <c r="A12" i="2"/>
  <c r="E11" i="2"/>
  <c r="F11" i="2" s="1"/>
  <c r="D11" i="2"/>
  <c r="H11" i="2" s="1"/>
  <c r="C11" i="2"/>
  <c r="G11" i="2" s="1"/>
  <c r="B11" i="2"/>
  <c r="A11" i="2"/>
  <c r="E10" i="2"/>
  <c r="F10" i="2" s="1"/>
  <c r="D10" i="2"/>
  <c r="H10" i="2" s="1"/>
  <c r="C10" i="2"/>
  <c r="G10" i="2" s="1"/>
  <c r="B10" i="2"/>
  <c r="A10" i="2"/>
  <c r="E9" i="2"/>
  <c r="F9" i="2" s="1"/>
  <c r="D9" i="2"/>
  <c r="H9" i="2" s="1"/>
  <c r="C9" i="2"/>
  <c r="G9" i="2" s="1"/>
  <c r="B9" i="2"/>
  <c r="A9" i="2"/>
  <c r="E8" i="2"/>
  <c r="F8" i="2" s="1"/>
  <c r="D8" i="2"/>
  <c r="H8" i="2" s="1"/>
  <c r="C8" i="2"/>
  <c r="G8" i="2" s="1"/>
  <c r="B8" i="2"/>
  <c r="A8" i="2"/>
  <c r="E7" i="2"/>
  <c r="F7" i="2" s="1"/>
  <c r="D7" i="2"/>
  <c r="H7" i="2" s="1"/>
  <c r="C7" i="2"/>
  <c r="G7" i="2" s="1"/>
  <c r="B7" i="2"/>
  <c r="A7" i="2"/>
  <c r="E6" i="2"/>
  <c r="F6" i="2" s="1"/>
  <c r="D6" i="2"/>
  <c r="H6" i="2" s="1"/>
  <c r="C6" i="2"/>
  <c r="G6" i="2" s="1"/>
  <c r="B6" i="2"/>
  <c r="A6" i="2"/>
  <c r="E5" i="2"/>
  <c r="F5" i="2" s="1"/>
  <c r="D5" i="2"/>
  <c r="H5" i="2" s="1"/>
  <c r="C5" i="2"/>
  <c r="G5" i="2" s="1"/>
  <c r="B5" i="2"/>
  <c r="A5" i="2"/>
  <c r="E4" i="2"/>
  <c r="F4" i="2" s="1"/>
  <c r="D4" i="2"/>
  <c r="H4" i="2" s="1"/>
  <c r="C4" i="2"/>
  <c r="G4" i="2" s="1"/>
  <c r="B4" i="2"/>
  <c r="A4" i="2"/>
  <c r="E3" i="2"/>
  <c r="F3" i="2" s="1"/>
  <c r="D3" i="2"/>
  <c r="H3" i="2" s="1"/>
  <c r="C3" i="2"/>
  <c r="G3" i="2" s="1"/>
  <c r="B3" i="2"/>
  <c r="A3" i="2"/>
  <c r="E2" i="2"/>
  <c r="F2" i="2" s="1"/>
  <c r="D2" i="2"/>
  <c r="H2" i="2" s="1"/>
  <c r="C2" i="2"/>
  <c r="G2" i="2" s="1"/>
  <c r="B2" i="2"/>
  <c r="A2" i="2"/>
  <c r="H95" i="2" l="1"/>
  <c r="C4" i="3"/>
  <c r="E4" i="3"/>
  <c r="G95" i="2"/>
  <c r="I95" i="2" s="1"/>
  <c r="J95" i="2" s="1"/>
  <c r="G4" i="3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3" i="2"/>
  <c r="J93" i="2" s="1"/>
  <c r="I92" i="2"/>
  <c r="J92" i="2" s="1"/>
  <c r="I91" i="2"/>
  <c r="J91" i="2" s="1"/>
  <c r="I90" i="2"/>
  <c r="J9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5" i="2"/>
  <c r="J45" i="2" s="1"/>
  <c r="I42" i="2"/>
  <c r="J42" i="2" s="1"/>
  <c r="I40" i="2"/>
  <c r="J40" i="2" s="1"/>
  <c r="I38" i="2"/>
  <c r="J38" i="2" s="1"/>
  <c r="I35" i="2"/>
  <c r="J35" i="2" s="1"/>
  <c r="I33" i="2"/>
  <c r="J33" i="2" s="1"/>
  <c r="I31" i="2"/>
  <c r="J31" i="2" s="1"/>
  <c r="I30" i="2"/>
  <c r="J30" i="2" s="1"/>
  <c r="I24" i="2"/>
  <c r="J24" i="2" s="1"/>
  <c r="I21" i="2"/>
  <c r="J21" i="2" s="1"/>
  <c r="I19" i="2"/>
  <c r="J19" i="2" s="1"/>
  <c r="I16" i="2"/>
  <c r="J16" i="2" s="1"/>
  <c r="I14" i="2"/>
  <c r="J14" i="2" s="1"/>
  <c r="I12" i="2"/>
  <c r="J12" i="2" s="1"/>
  <c r="I10" i="2"/>
  <c r="J10" i="2" s="1"/>
  <c r="I9" i="2"/>
  <c r="J9" i="2" s="1"/>
  <c r="I6" i="2"/>
  <c r="J6" i="2" s="1"/>
  <c r="I4" i="2"/>
  <c r="J4" i="2" s="1"/>
  <c r="I3" i="2"/>
  <c r="J3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46" i="2"/>
  <c r="J46" i="2" s="1"/>
  <c r="I44" i="2"/>
  <c r="J44" i="2" s="1"/>
  <c r="I43" i="2"/>
  <c r="J43" i="2" s="1"/>
  <c r="I41" i="2"/>
  <c r="J41" i="2" s="1"/>
  <c r="I39" i="2"/>
  <c r="J39" i="2" s="1"/>
  <c r="I37" i="2"/>
  <c r="J37" i="2" s="1"/>
  <c r="I36" i="2"/>
  <c r="J36" i="2" s="1"/>
  <c r="I34" i="2"/>
  <c r="J34" i="2" s="1"/>
  <c r="I32" i="2"/>
  <c r="J32" i="2" s="1"/>
  <c r="I29" i="2"/>
  <c r="J29" i="2" s="1"/>
  <c r="I28" i="2"/>
  <c r="J28" i="2" s="1"/>
  <c r="I27" i="2"/>
  <c r="J27" i="2" s="1"/>
  <c r="I26" i="2"/>
  <c r="J26" i="2" s="1"/>
  <c r="I25" i="2"/>
  <c r="J25" i="2" s="1"/>
  <c r="I23" i="2"/>
  <c r="J23" i="2" s="1"/>
  <c r="I22" i="2"/>
  <c r="J22" i="2" s="1"/>
  <c r="I20" i="2"/>
  <c r="J20" i="2" s="1"/>
  <c r="I18" i="2"/>
  <c r="J18" i="2" s="1"/>
  <c r="I17" i="2"/>
  <c r="J17" i="2" s="1"/>
  <c r="I15" i="2"/>
  <c r="J15" i="2" s="1"/>
  <c r="I13" i="2"/>
  <c r="J13" i="2" s="1"/>
  <c r="I11" i="2"/>
  <c r="J11" i="2" s="1"/>
  <c r="I8" i="2"/>
  <c r="J8" i="2" s="1"/>
  <c r="I7" i="2"/>
  <c r="J7" i="2" s="1"/>
  <c r="I5" i="2"/>
  <c r="J5" i="2" s="1"/>
  <c r="I2" i="2"/>
  <c r="J2" i="2" s="1"/>
  <c r="B69" i="4" l="1"/>
  <c r="B56" i="4"/>
  <c r="B55" i="4"/>
  <c r="B43" i="4"/>
  <c r="B42" i="4"/>
  <c r="B30" i="4"/>
  <c r="B29" i="4"/>
  <c r="B17" i="4"/>
  <c r="B16" i="4"/>
  <c r="B4" i="4"/>
  <c r="B3" i="4"/>
  <c r="B68" i="4"/>
  <c r="C13" i="3"/>
  <c r="B13" i="3"/>
  <c r="C12" i="3"/>
  <c r="C11" i="3"/>
  <c r="B11" i="3"/>
  <c r="C10" i="3"/>
  <c r="B10" i="3"/>
  <c r="B9" i="3"/>
  <c r="C8" i="3"/>
  <c r="B12" i="3"/>
  <c r="C9" i="3"/>
  <c r="B8" i="3"/>
  <c r="B14" i="3" s="1"/>
  <c r="D13" i="3" l="1"/>
  <c r="E13" i="3"/>
  <c r="D12" i="3"/>
  <c r="E12" i="3"/>
  <c r="D11" i="3"/>
  <c r="E11" i="3"/>
  <c r="D10" i="3"/>
  <c r="E10" i="3"/>
  <c r="C14" i="3"/>
  <c r="D8" i="3"/>
  <c r="E8" i="3"/>
  <c r="D9" i="3"/>
  <c r="E9" i="3"/>
</calcChain>
</file>

<file path=xl/sharedStrings.xml><?xml version="1.0" encoding="utf-8"?>
<sst xmlns="http://schemas.openxmlformats.org/spreadsheetml/2006/main" count="571" uniqueCount="339">
  <si>
    <t>Customer ID</t>
  </si>
  <si>
    <t>Customer Name</t>
  </si>
  <si>
    <t>Email</t>
  </si>
  <si>
    <t>City</t>
  </si>
  <si>
    <t>Frequency</t>
  </si>
  <si>
    <t>Monetary Value</t>
  </si>
  <si>
    <t>Last Purchase Date</t>
  </si>
  <si>
    <t>Recency Days</t>
  </si>
  <si>
    <t>Rajesh Kumar</t>
  </si>
  <si>
    <t>rajesh@email.com</t>
  </si>
  <si>
    <t>Hyderabad</t>
  </si>
  <si>
    <t>2024-08-10</t>
  </si>
  <si>
    <t>Priya Sharma</t>
  </si>
  <si>
    <t>priya@email.com</t>
  </si>
  <si>
    <t>Mumbai</t>
  </si>
  <si>
    <t>2024-07-15</t>
  </si>
  <si>
    <t>Amit Patel</t>
  </si>
  <si>
    <t>amit@email.com</t>
  </si>
  <si>
    <t>Delhi</t>
  </si>
  <si>
    <t>2024-08-05</t>
  </si>
  <si>
    <t>Sneha Gupta</t>
  </si>
  <si>
    <t>sneha@email.com</t>
  </si>
  <si>
    <t>Bangalore</t>
  </si>
  <si>
    <t>2023-12-10</t>
  </si>
  <si>
    <t>Vikram Singh</t>
  </si>
  <si>
    <t>vikram@email.com</t>
  </si>
  <si>
    <t>Pune</t>
  </si>
  <si>
    <t>2024-06-20</t>
  </si>
  <si>
    <t>Anjali Reddy</t>
  </si>
  <si>
    <t>anjali@email.com</t>
  </si>
  <si>
    <t>2024-08-18</t>
  </si>
  <si>
    <t>Rahul Chopra</t>
  </si>
  <si>
    <t>rahul@email.com</t>
  </si>
  <si>
    <t>2024-02-05</t>
  </si>
  <si>
    <t>Neha Iyer</t>
  </si>
  <si>
    <t>neha@email.com</t>
  </si>
  <si>
    <t>Kochi</t>
  </si>
  <si>
    <t>2024-07-22</t>
  </si>
  <si>
    <t>Arjun Nair</t>
  </si>
  <si>
    <t>arjun@email.com</t>
  </si>
  <si>
    <t>Chennai</t>
  </si>
  <si>
    <t>2024-08-12</t>
  </si>
  <si>
    <t>Divya Menon</t>
  </si>
  <si>
    <t>divya@email.com</t>
  </si>
  <si>
    <t>2024-07-18</t>
  </si>
  <si>
    <t>Sanjay Verma</t>
  </si>
  <si>
    <t>sanjay@email.com</t>
  </si>
  <si>
    <t>Noida</t>
  </si>
  <si>
    <t>2024-06-25</t>
  </si>
  <si>
    <t>Kanika Bhat</t>
  </si>
  <si>
    <t>kanika@email.com</t>
  </si>
  <si>
    <t>2023-11-10</t>
  </si>
  <si>
    <t>Manish Rao</t>
  </si>
  <si>
    <t>manish@email.com</t>
  </si>
  <si>
    <t>2024-07-20</t>
  </si>
  <si>
    <t>Pooja Joshi</t>
  </si>
  <si>
    <t>pooja@email.com</t>
  </si>
  <si>
    <t>2024-08-08</t>
  </si>
  <si>
    <t>Rohan Desai</t>
  </si>
  <si>
    <t>rohan@email.com</t>
  </si>
  <si>
    <t>2024-07-25</t>
  </si>
  <si>
    <t>Isha Khan</t>
  </si>
  <si>
    <t>isha@email.com</t>
  </si>
  <si>
    <t>2024-03-08</t>
  </si>
  <si>
    <t>Nikhil Das</t>
  </si>
  <si>
    <t>nikhil@email.com</t>
  </si>
  <si>
    <t>Kolkata</t>
  </si>
  <si>
    <t>2024-06-10</t>
  </si>
  <si>
    <t>Swati Roy</t>
  </si>
  <si>
    <t>swati@email.com</t>
  </si>
  <si>
    <t>2024-08-01</t>
  </si>
  <si>
    <t>Arun Kumar</t>
  </si>
  <si>
    <t>arun@email.com</t>
  </si>
  <si>
    <t>2024-07-28</t>
  </si>
  <si>
    <t>Madhavi Singh</t>
  </si>
  <si>
    <t>madhavi@email.com</t>
  </si>
  <si>
    <t>2024-08-15</t>
  </si>
  <si>
    <t>Customer 21</t>
  </si>
  <si>
    <t>cust21@email.com</t>
  </si>
  <si>
    <t>Customer 22</t>
  </si>
  <si>
    <t>cust22@email.com</t>
  </si>
  <si>
    <t>Customer 23</t>
  </si>
  <si>
    <t>cust23@email.com</t>
  </si>
  <si>
    <t>Customer 24</t>
  </si>
  <si>
    <t>cust24@email.com</t>
  </si>
  <si>
    <t>Customer 25</t>
  </si>
  <si>
    <t>cust25@email.com</t>
  </si>
  <si>
    <t>Customer 26</t>
  </si>
  <si>
    <t>cust26@email.com</t>
  </si>
  <si>
    <t>Customer 27</t>
  </si>
  <si>
    <t>cust27@email.com</t>
  </si>
  <si>
    <t>Customer 28</t>
  </si>
  <si>
    <t>cust28@email.com</t>
  </si>
  <si>
    <t>Customer 29</t>
  </si>
  <si>
    <t>cust29@email.com</t>
  </si>
  <si>
    <t>Customer 30</t>
  </si>
  <si>
    <t>cust30@email.com</t>
  </si>
  <si>
    <t>Customer 31</t>
  </si>
  <si>
    <t>cust31@email.com</t>
  </si>
  <si>
    <t>Customer 32</t>
  </si>
  <si>
    <t>cust32@email.com</t>
  </si>
  <si>
    <t>Customer 33</t>
  </si>
  <si>
    <t>cust33@email.com</t>
  </si>
  <si>
    <t>Customer 34</t>
  </si>
  <si>
    <t>cust34@email.com</t>
  </si>
  <si>
    <t>Customer 35</t>
  </si>
  <si>
    <t>cust35@email.com</t>
  </si>
  <si>
    <t>Customer 36</t>
  </si>
  <si>
    <t>cust36@email.com</t>
  </si>
  <si>
    <t>Customer 37</t>
  </si>
  <si>
    <t>cust37@email.com</t>
  </si>
  <si>
    <t>Customer 38</t>
  </si>
  <si>
    <t>cust38@email.com</t>
  </si>
  <si>
    <t>Customer 39</t>
  </si>
  <si>
    <t>cust39@email.com</t>
  </si>
  <si>
    <t>Customer 40</t>
  </si>
  <si>
    <t>cust40@email.com</t>
  </si>
  <si>
    <t>Customer 41</t>
  </si>
  <si>
    <t>cust41@email.com</t>
  </si>
  <si>
    <t>Customer 42</t>
  </si>
  <si>
    <t>cust42@email.com</t>
  </si>
  <si>
    <t>Customer 43</t>
  </si>
  <si>
    <t>cust43@email.com</t>
  </si>
  <si>
    <t>Customer 44</t>
  </si>
  <si>
    <t>cust44@email.com</t>
  </si>
  <si>
    <t>Customer 45</t>
  </si>
  <si>
    <t>cust45@email.com</t>
  </si>
  <si>
    <t>Customer 46</t>
  </si>
  <si>
    <t>cust46@email.com</t>
  </si>
  <si>
    <t>Customer 47</t>
  </si>
  <si>
    <t>cust47@email.com</t>
  </si>
  <si>
    <t>Customer 48</t>
  </si>
  <si>
    <t>cust48@email.com</t>
  </si>
  <si>
    <t>Customer 49</t>
  </si>
  <si>
    <t>cust49@email.com</t>
  </si>
  <si>
    <t>Customer 50</t>
  </si>
  <si>
    <t>cust50@email.com</t>
  </si>
  <si>
    <t>Customer 51</t>
  </si>
  <si>
    <t>cust51@email.com</t>
  </si>
  <si>
    <t>Customer 52</t>
  </si>
  <si>
    <t>cust52@email.com</t>
  </si>
  <si>
    <t>Customer 53</t>
  </si>
  <si>
    <t>cust53@email.com</t>
  </si>
  <si>
    <t>Customer 54</t>
  </si>
  <si>
    <t>cust54@email.com</t>
  </si>
  <si>
    <t>Customer 55</t>
  </si>
  <si>
    <t>cust55@email.com</t>
  </si>
  <si>
    <t>Customer 56</t>
  </si>
  <si>
    <t>cust56@email.com</t>
  </si>
  <si>
    <t>Customer 57</t>
  </si>
  <si>
    <t>cust57@email.com</t>
  </si>
  <si>
    <t>Customer 58</t>
  </si>
  <si>
    <t>cust58@email.com</t>
  </si>
  <si>
    <t>Customer 59</t>
  </si>
  <si>
    <t>cust59@email.com</t>
  </si>
  <si>
    <t>Customer 60</t>
  </si>
  <si>
    <t>cust60@email.com</t>
  </si>
  <si>
    <t>Customer 61</t>
  </si>
  <si>
    <t>cust61@email.com</t>
  </si>
  <si>
    <t>Customer 62</t>
  </si>
  <si>
    <t>cust62@email.com</t>
  </si>
  <si>
    <t>Customer 63</t>
  </si>
  <si>
    <t>cust63@email.com</t>
  </si>
  <si>
    <t>Customer 64</t>
  </si>
  <si>
    <t>cust64@email.com</t>
  </si>
  <si>
    <t>Customer 65</t>
  </si>
  <si>
    <t>cust65@email.com</t>
  </si>
  <si>
    <t>Customer 66</t>
  </si>
  <si>
    <t>cust66@email.com</t>
  </si>
  <si>
    <t>Customer 67</t>
  </si>
  <si>
    <t>cust67@email.com</t>
  </si>
  <si>
    <t>Customer 68</t>
  </si>
  <si>
    <t>cust68@email.com</t>
  </si>
  <si>
    <t>Customer 69</t>
  </si>
  <si>
    <t>cust69@email.com</t>
  </si>
  <si>
    <t>Customer 70</t>
  </si>
  <si>
    <t>cust70@email.com</t>
  </si>
  <si>
    <t>Customer 71</t>
  </si>
  <si>
    <t>cust71@email.com</t>
  </si>
  <si>
    <t>Customer 72</t>
  </si>
  <si>
    <t>cust72@email.com</t>
  </si>
  <si>
    <t>Customer 73</t>
  </si>
  <si>
    <t>cust73@email.com</t>
  </si>
  <si>
    <t>Customer 74</t>
  </si>
  <si>
    <t>cust74@email.com</t>
  </si>
  <si>
    <t>Customer 75</t>
  </si>
  <si>
    <t>cust75@email.com</t>
  </si>
  <si>
    <t>Customer 76</t>
  </si>
  <si>
    <t>cust76@email.com</t>
  </si>
  <si>
    <t>Customer 77</t>
  </si>
  <si>
    <t>cust77@email.com</t>
  </si>
  <si>
    <t>Customer 78</t>
  </si>
  <si>
    <t>cust78@email.com</t>
  </si>
  <si>
    <t>Customer 79</t>
  </si>
  <si>
    <t>cust79@email.com</t>
  </si>
  <si>
    <t>Customer 80</t>
  </si>
  <si>
    <t>cust80@email.com</t>
  </si>
  <si>
    <t>Customer 81</t>
  </si>
  <si>
    <t>cust81@email.com</t>
  </si>
  <si>
    <t>Customer 82</t>
  </si>
  <si>
    <t>cust82@email.com</t>
  </si>
  <si>
    <t>Customer 83</t>
  </si>
  <si>
    <t>cust83@email.com</t>
  </si>
  <si>
    <t>Customer 84</t>
  </si>
  <si>
    <t>cust84@email.com</t>
  </si>
  <si>
    <t>Customer 85</t>
  </si>
  <si>
    <t>cust85@email.com</t>
  </si>
  <si>
    <t>Customer 86</t>
  </si>
  <si>
    <t>cust86@email.com</t>
  </si>
  <si>
    <t>Customer 87</t>
  </si>
  <si>
    <t>cust87@email.com</t>
  </si>
  <si>
    <t>Customer 88</t>
  </si>
  <si>
    <t>cust88@email.com</t>
  </si>
  <si>
    <t>Customer 89</t>
  </si>
  <si>
    <t>cust89@email.com</t>
  </si>
  <si>
    <t>Customer 90</t>
  </si>
  <si>
    <t>cust90@email.com</t>
  </si>
  <si>
    <t>Customer 91</t>
  </si>
  <si>
    <t>cust91@email.com</t>
  </si>
  <si>
    <t>Customer 92</t>
  </si>
  <si>
    <t>cust92@email.com</t>
  </si>
  <si>
    <t>Customer 93</t>
  </si>
  <si>
    <t>cust93@email.com</t>
  </si>
  <si>
    <t>Customer 94</t>
  </si>
  <si>
    <t>cust94@email.com</t>
  </si>
  <si>
    <t>Customer 95</t>
  </si>
  <si>
    <t>cust95@email.com</t>
  </si>
  <si>
    <t>Customer 96</t>
  </si>
  <si>
    <t>cust96@email.com</t>
  </si>
  <si>
    <t>Customer 97</t>
  </si>
  <si>
    <t>cust97@email.com</t>
  </si>
  <si>
    <t>Customer 98</t>
  </si>
  <si>
    <t>cust98@email.com</t>
  </si>
  <si>
    <t>Customer 99</t>
  </si>
  <si>
    <t>cust99@email.com</t>
  </si>
  <si>
    <t>Customer 100</t>
  </si>
  <si>
    <t>cust100@email.com</t>
  </si>
  <si>
    <t>R Quartile</t>
  </si>
  <si>
    <t>F Quartile</t>
  </si>
  <si>
    <t>M Quartile</t>
  </si>
  <si>
    <t>RFM Score</t>
  </si>
  <si>
    <t>Segment</t>
  </si>
  <si>
    <t>RFM ANALYSIS DASHBOARD</t>
  </si>
  <si>
    <t>Total Customers</t>
  </si>
  <si>
    <t>Total Revenue</t>
  </si>
  <si>
    <t>Avg Order Value</t>
  </si>
  <si>
    <t>Repeat %</t>
  </si>
  <si>
    <t>SEGMENT ANALYSIS</t>
  </si>
  <si>
    <t>Count</t>
  </si>
  <si>
    <t>Revenue</t>
  </si>
  <si>
    <t>Avg Spend</t>
  </si>
  <si>
    <t>% Total</t>
  </si>
  <si>
    <t>Champions</t>
  </si>
  <si>
    <t>Loyal</t>
  </si>
  <si>
    <t>Potential</t>
  </si>
  <si>
    <t>At Risk</t>
  </si>
  <si>
    <t>Churned</t>
  </si>
  <si>
    <t>Lost</t>
  </si>
  <si>
    <t>TOTAL</t>
  </si>
  <si>
    <t>100%</t>
  </si>
  <si>
    <t>SEGMENT-BASED RECOMMENDATIONS</t>
  </si>
  <si>
    <t>Customers:</t>
  </si>
  <si>
    <t>Revenue:</t>
  </si>
  <si>
    <t>Goal:</t>
  </si>
  <si>
    <t>Maximize lifetime value and loyalty</t>
  </si>
  <si>
    <t>Actions:</t>
  </si>
  <si>
    <t>• VIP loyalty program with exclusive benefits</t>
  </si>
  <si>
    <t>• Personal account manager</t>
  </si>
  <si>
    <t>• Exclusive product access</t>
  </si>
  <si>
    <t>• Premium customer service</t>
  </si>
  <si>
    <t>• Quarterly business reviews</t>
  </si>
  <si>
    <t>Frequency:</t>
  </si>
  <si>
    <t>Monthly touchpoints</t>
  </si>
  <si>
    <t>Expected ROI:</t>
  </si>
  <si>
    <t>20-30% increase</t>
  </si>
  <si>
    <t>Move to Champions tier</t>
  </si>
  <si>
    <t>• Loyalty rewards program</t>
  </si>
  <si>
    <t>• Cross-sell recommendations</t>
  </si>
  <si>
    <t>• Birthday and anniversary gifts</t>
  </si>
  <si>
    <t>• Member-only events</t>
  </si>
  <si>
    <t>• Product education</t>
  </si>
  <si>
    <t>Bi-monthly</t>
  </si>
  <si>
    <t>15-20% conversion</t>
  </si>
  <si>
    <t>Increase engagement and spending</t>
  </si>
  <si>
    <t>• Personalized email campaigns</t>
  </si>
  <si>
    <t>• Limited-time special offers</t>
  </si>
  <si>
    <t>• Product education webinars</t>
  </si>
  <si>
    <t>• Free trial programs</t>
  </si>
  <si>
    <t>• Referral incentives</t>
  </si>
  <si>
    <t>Monthly</t>
  </si>
  <si>
    <t>10-15% conversion</t>
  </si>
  <si>
    <t>Win back engagement</t>
  </si>
  <si>
    <t>• "We miss you" emails</t>
  </si>
  <si>
    <t>• Special discount (15-20%)</t>
  </si>
  <si>
    <t>• Satisfaction survey</t>
  </si>
  <si>
    <t>• Win-back campaigns</t>
  </si>
  <si>
    <t>• Product reminders</t>
  </si>
  <si>
    <t>20-30% reactivation</t>
  </si>
  <si>
    <t>Re-engagement and reactivation</t>
  </si>
  <si>
    <t>• Re-activation email series</t>
  </si>
  <si>
    <t>• Comeback offer (25% off)</t>
  </si>
  <si>
    <t>• Feedback survey</t>
  </si>
  <si>
    <t>• New product highlights</t>
  </si>
  <si>
    <t>• Seasonal offers</t>
  </si>
  <si>
    <t>Quarterly</t>
  </si>
  <si>
    <t>5-10% return</t>
  </si>
  <si>
    <t>Archive or annual checkup</t>
  </si>
  <si>
    <t>• Annual check-in email</t>
  </si>
  <si>
    <t>• Archive if no response</t>
  </si>
  <si>
    <t>• Database cleanup</t>
  </si>
  <si>
    <t>• Seasonal re-engagement</t>
  </si>
  <si>
    <t>Annually</t>
  </si>
  <si>
    <t>Minimal</t>
  </si>
  <si>
    <t>ALL FORMULAS REFERENCE</t>
  </si>
  <si>
    <t>Location</t>
  </si>
  <si>
    <t>Cell</t>
  </si>
  <si>
    <t>Formula Name</t>
  </si>
  <si>
    <t>Formula</t>
  </si>
  <si>
    <t>Sheet 2</t>
  </si>
  <si>
    <t>F2:F101</t>
  </si>
  <si>
    <t>R_Quartile</t>
  </si>
  <si>
    <t>G2:G101</t>
  </si>
  <si>
    <t>F_Quartile</t>
  </si>
  <si>
    <t>H2:H101</t>
  </si>
  <si>
    <t>M_Quartile</t>
  </si>
  <si>
    <t>I2:I101</t>
  </si>
  <si>
    <t>J2:J101</t>
  </si>
  <si>
    <t>Sheet 3</t>
  </si>
  <si>
    <t>A4</t>
  </si>
  <si>
    <t>C4</t>
  </si>
  <si>
    <t>E4</t>
  </si>
  <si>
    <t>G4</t>
  </si>
  <si>
    <t>B8:B13</t>
  </si>
  <si>
    <t>Count by Segment</t>
  </si>
  <si>
    <t>C8:C13</t>
  </si>
  <si>
    <t>Revenue by Segment</t>
  </si>
  <si>
    <t>D8:D13</t>
  </si>
  <si>
    <t>E8:E13</t>
  </si>
  <si>
    <t>%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</si>
</sst>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4472C4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4"/>
      <color rgb="FF4472C4"/>
      <name val="Calibri"/>
    </font>
    <font>
      <b/>
      <sz val="12"/>
      <color rgb="FFFFFFFF"/>
      <name val="Calibri"/>
    </font>
    <font>
      <b/>
      <sz val="11"/>
      <color rgb="FF000000"/>
      <name val="Calibri"/>
    </font>
    <font>
      <b/>
      <sz val="14"/>
      <color rgb="FFFFFFFF"/>
      <name val="Calibri"/>
    </font>
    <font>
      <b/>
      <sz val="12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DCE6F1"/>
        <bgColor rgb="FFDCE6F1"/>
      </patternFill>
    </fill>
    <fill>
      <patternFill patternType="solid">
        <fgColor rgb="FF70AD47"/>
        <bgColor rgb="FF70AD47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8C00"/>
        <bgColor rgb="FFFF8C00"/>
      </patternFill>
    </fill>
    <fill>
      <patternFill patternType="solid">
        <fgColor rgb="FFFF6B6B"/>
        <bgColor rgb="FFFF6B6B"/>
      </patternFill>
    </fill>
    <fill>
      <patternFill patternType="solid">
        <fgColor rgb="FFA5A5A5"/>
        <bgColor rgb="FFA5A5A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3" fontId="6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9" fontId="6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2" fillId="6" borderId="1" xfId="0" applyNumberFormat="1" applyFont="1" applyFill="1" applyBorder="1"/>
    <xf numFmtId="9" fontId="2" fillId="6" borderId="1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165" fontId="7" fillId="2" borderId="1" xfId="0" applyNumberFormat="1" applyFont="1" applyFill="1" applyBorder="1"/>
    <xf numFmtId="3" fontId="2" fillId="0" borderId="0" xfId="0" applyNumberFormat="1" applyFont="1"/>
    <xf numFmtId="165" fontId="2" fillId="0" borderId="0" xfId="0" applyNumberFormat="1" applyFont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7" fillId="2" borderId="0" xfId="0" applyFont="1" applyFill="1" applyAlignment="1">
      <alignment horizont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10" fillId="8" borderId="0" xfId="0" applyFont="1" applyFill="1"/>
    <xf numFmtId="0" fontId="7" fillId="11" borderId="0" xfId="0" applyFont="1" applyFill="1"/>
    <xf numFmtId="0" fontId="10" fillId="7" borderId="0" xfId="0" applyFont="1" applyFill="1"/>
    <xf numFmtId="0" fontId="9" fillId="2" borderId="0" xfId="0" applyFont="1" applyFill="1" applyAlignment="1">
      <alignment horizontal="center"/>
    </xf>
    <xf numFmtId="0" fontId="7" fillId="10" borderId="0" xfId="0" applyFont="1" applyFill="1"/>
    <xf numFmtId="0" fontId="7" fillId="9" borderId="0" xfId="0" applyFont="1" applyFill="1"/>
    <xf numFmtId="0" fontId="7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workbookViewId="0">
      <selection activeCell="F17" sqref="F17"/>
    </sheetView>
  </sheetViews>
  <sheetFormatPr defaultRowHeight="14.4"/>
  <cols>
    <col min="1" max="1" width="12" customWidth="1"/>
    <col min="2" max="2" width="18" customWidth="1"/>
    <col min="3" max="3" width="20" customWidth="1"/>
    <col min="4" max="4" width="15" customWidth="1"/>
    <col min="5" max="5" width="12" customWidth="1"/>
    <col min="6" max="6" width="15" customWidth="1"/>
    <col min="7" max="7" width="18" customWidth="1"/>
    <col min="8" max="8" width="14" customWidth="1"/>
  </cols>
  <sheetData>
    <row r="1" spans="1:8" ht="25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3" t="s">
        <v>8</v>
      </c>
      <c r="C2" s="3" t="s">
        <v>9</v>
      </c>
      <c r="D2" s="3" t="s">
        <v>10</v>
      </c>
      <c r="E2" s="2">
        <v>4</v>
      </c>
      <c r="F2" s="4">
        <v>18700</v>
      </c>
      <c r="G2" s="3" t="s">
        <v>11</v>
      </c>
      <c r="H2" s="3">
        <v>6</v>
      </c>
    </row>
    <row r="3" spans="1:8">
      <c r="A3" s="2">
        <v>2</v>
      </c>
      <c r="B3" s="3" t="s">
        <v>12</v>
      </c>
      <c r="C3" s="3" t="s">
        <v>13</v>
      </c>
      <c r="D3" s="3" t="s">
        <v>14</v>
      </c>
      <c r="E3" s="2">
        <v>3</v>
      </c>
      <c r="F3" s="4">
        <v>10200</v>
      </c>
      <c r="G3" s="3" t="s">
        <v>15</v>
      </c>
      <c r="H3" s="3">
        <v>32</v>
      </c>
    </row>
    <row r="4" spans="1:8">
      <c r="A4" s="2">
        <v>3</v>
      </c>
      <c r="B4" s="3" t="s">
        <v>16</v>
      </c>
      <c r="C4" s="3" t="s">
        <v>17</v>
      </c>
      <c r="D4" s="3" t="s">
        <v>18</v>
      </c>
      <c r="E4" s="2">
        <v>3</v>
      </c>
      <c r="F4" s="4">
        <v>11000</v>
      </c>
      <c r="G4" s="3" t="s">
        <v>19</v>
      </c>
      <c r="H4" s="3">
        <v>11</v>
      </c>
    </row>
    <row r="5" spans="1:8">
      <c r="A5" s="2">
        <v>4</v>
      </c>
      <c r="B5" s="3" t="s">
        <v>20</v>
      </c>
      <c r="C5" s="3" t="s">
        <v>21</v>
      </c>
      <c r="D5" s="3" t="s">
        <v>22</v>
      </c>
      <c r="E5" s="2">
        <v>2</v>
      </c>
      <c r="F5" s="4">
        <v>4200</v>
      </c>
      <c r="G5" s="3" t="s">
        <v>23</v>
      </c>
      <c r="H5" s="3">
        <v>562</v>
      </c>
    </row>
    <row r="6" spans="1:8">
      <c r="A6" s="2">
        <v>5</v>
      </c>
      <c r="B6" s="3" t="s">
        <v>24</v>
      </c>
      <c r="C6" s="3" t="s">
        <v>25</v>
      </c>
      <c r="D6" s="3" t="s">
        <v>26</v>
      </c>
      <c r="E6" s="2">
        <v>3</v>
      </c>
      <c r="F6" s="4">
        <v>9500</v>
      </c>
      <c r="G6" s="3" t="s">
        <v>27</v>
      </c>
      <c r="H6" s="3">
        <v>57</v>
      </c>
    </row>
    <row r="7" spans="1:8">
      <c r="A7" s="2">
        <v>6</v>
      </c>
      <c r="B7" s="3" t="s">
        <v>28</v>
      </c>
      <c r="C7" s="3" t="s">
        <v>29</v>
      </c>
      <c r="D7" s="3" t="s">
        <v>10</v>
      </c>
      <c r="E7" s="2">
        <v>4</v>
      </c>
      <c r="F7" s="4">
        <v>15600</v>
      </c>
      <c r="G7" s="3" t="s">
        <v>30</v>
      </c>
      <c r="H7" s="3">
        <v>0</v>
      </c>
    </row>
    <row r="8" spans="1:8">
      <c r="A8" s="2">
        <v>7</v>
      </c>
      <c r="B8" s="3" t="s">
        <v>31</v>
      </c>
      <c r="C8" s="3" t="s">
        <v>32</v>
      </c>
      <c r="D8" s="3" t="s">
        <v>18</v>
      </c>
      <c r="E8" s="2">
        <v>2</v>
      </c>
      <c r="F8" s="4">
        <v>3800</v>
      </c>
      <c r="G8" s="3" t="s">
        <v>33</v>
      </c>
      <c r="H8" s="3">
        <v>193</v>
      </c>
    </row>
    <row r="9" spans="1:8">
      <c r="A9" s="2">
        <v>8</v>
      </c>
      <c r="B9" s="3" t="s">
        <v>34</v>
      </c>
      <c r="C9" s="3" t="s">
        <v>35</v>
      </c>
      <c r="D9" s="3" t="s">
        <v>36</v>
      </c>
      <c r="E9" s="2">
        <v>3</v>
      </c>
      <c r="F9" s="4">
        <v>12500</v>
      </c>
      <c r="G9" s="3" t="s">
        <v>37</v>
      </c>
      <c r="H9" s="3">
        <v>25</v>
      </c>
    </row>
    <row r="10" spans="1:8">
      <c r="A10" s="2">
        <v>9</v>
      </c>
      <c r="B10" s="3" t="s">
        <v>38</v>
      </c>
      <c r="C10" s="3" t="s">
        <v>39</v>
      </c>
      <c r="D10" s="3" t="s">
        <v>40</v>
      </c>
      <c r="E10" s="2">
        <v>4</v>
      </c>
      <c r="F10" s="4">
        <v>16800</v>
      </c>
      <c r="G10" s="3" t="s">
        <v>41</v>
      </c>
      <c r="H10" s="3">
        <v>4</v>
      </c>
    </row>
    <row r="11" spans="1:8">
      <c r="A11" s="2">
        <v>10</v>
      </c>
      <c r="B11" s="3" t="s">
        <v>42</v>
      </c>
      <c r="C11" s="3" t="s">
        <v>43</v>
      </c>
      <c r="D11" s="3" t="s">
        <v>14</v>
      </c>
      <c r="E11" s="2">
        <v>4</v>
      </c>
      <c r="F11" s="4">
        <v>14200</v>
      </c>
      <c r="G11" s="3" t="s">
        <v>44</v>
      </c>
      <c r="H11" s="3">
        <v>29</v>
      </c>
    </row>
    <row r="12" spans="1:8">
      <c r="A12" s="2">
        <v>11</v>
      </c>
      <c r="B12" s="3" t="s">
        <v>45</v>
      </c>
      <c r="C12" s="3" t="s">
        <v>46</v>
      </c>
      <c r="D12" s="3" t="s">
        <v>47</v>
      </c>
      <c r="E12" s="2">
        <v>3</v>
      </c>
      <c r="F12" s="4">
        <v>11500</v>
      </c>
      <c r="G12" s="3" t="s">
        <v>48</v>
      </c>
      <c r="H12" s="3">
        <v>52</v>
      </c>
    </row>
    <row r="13" spans="1:8">
      <c r="A13" s="2">
        <v>12</v>
      </c>
      <c r="B13" s="3" t="s">
        <v>49</v>
      </c>
      <c r="C13" s="3" t="s">
        <v>50</v>
      </c>
      <c r="D13" s="3" t="s">
        <v>22</v>
      </c>
      <c r="E13" s="2">
        <v>1</v>
      </c>
      <c r="F13" s="4">
        <v>2100</v>
      </c>
      <c r="G13" s="3" t="s">
        <v>51</v>
      </c>
      <c r="H13" s="3">
        <v>614</v>
      </c>
    </row>
    <row r="14" spans="1:8">
      <c r="A14" s="2">
        <v>13</v>
      </c>
      <c r="B14" s="3" t="s">
        <v>52</v>
      </c>
      <c r="C14" s="3" t="s">
        <v>53</v>
      </c>
      <c r="D14" s="3" t="s">
        <v>10</v>
      </c>
      <c r="E14" s="2">
        <v>3</v>
      </c>
      <c r="F14" s="4">
        <v>9800</v>
      </c>
      <c r="G14" s="3" t="s">
        <v>54</v>
      </c>
      <c r="H14" s="3">
        <v>27</v>
      </c>
    </row>
    <row r="15" spans="1:8">
      <c r="A15" s="2">
        <v>14</v>
      </c>
      <c r="B15" s="3" t="s">
        <v>55</v>
      </c>
      <c r="C15" s="3" t="s">
        <v>56</v>
      </c>
      <c r="D15" s="3" t="s">
        <v>26</v>
      </c>
      <c r="E15" s="2">
        <v>4</v>
      </c>
      <c r="F15" s="4">
        <v>13500</v>
      </c>
      <c r="G15" s="3" t="s">
        <v>57</v>
      </c>
      <c r="H15" s="3">
        <v>8</v>
      </c>
    </row>
    <row r="16" spans="1:8">
      <c r="A16" s="2">
        <v>15</v>
      </c>
      <c r="B16" s="3" t="s">
        <v>58</v>
      </c>
      <c r="C16" s="3" t="s">
        <v>59</v>
      </c>
      <c r="D16" s="3" t="s">
        <v>14</v>
      </c>
      <c r="E16" s="2">
        <v>3</v>
      </c>
      <c r="F16" s="4">
        <v>16200</v>
      </c>
      <c r="G16" s="3" t="s">
        <v>60</v>
      </c>
      <c r="H16" s="3">
        <v>22</v>
      </c>
    </row>
    <row r="17" spans="1:8">
      <c r="A17" s="2">
        <v>16</v>
      </c>
      <c r="B17" s="3" t="s">
        <v>61</v>
      </c>
      <c r="C17" s="3" t="s">
        <v>62</v>
      </c>
      <c r="D17" s="3" t="s">
        <v>18</v>
      </c>
      <c r="E17" s="2">
        <v>2</v>
      </c>
      <c r="F17" s="4">
        <v>5200</v>
      </c>
      <c r="G17" s="3" t="s">
        <v>63</v>
      </c>
      <c r="H17" s="3">
        <v>161</v>
      </c>
    </row>
    <row r="18" spans="1:8">
      <c r="A18" s="2">
        <v>17</v>
      </c>
      <c r="B18" s="3" t="s">
        <v>64</v>
      </c>
      <c r="C18" s="3" t="s">
        <v>65</v>
      </c>
      <c r="D18" s="3" t="s">
        <v>66</v>
      </c>
      <c r="E18" s="2">
        <v>2</v>
      </c>
      <c r="F18" s="4">
        <v>7500</v>
      </c>
      <c r="G18" s="3" t="s">
        <v>67</v>
      </c>
      <c r="H18" s="3">
        <v>67</v>
      </c>
    </row>
    <row r="19" spans="1:8">
      <c r="A19" s="2">
        <v>18</v>
      </c>
      <c r="B19" s="3" t="s">
        <v>68</v>
      </c>
      <c r="C19" s="3" t="s">
        <v>69</v>
      </c>
      <c r="D19" s="3" t="s">
        <v>22</v>
      </c>
      <c r="E19" s="2">
        <v>3</v>
      </c>
      <c r="F19" s="4">
        <v>13200</v>
      </c>
      <c r="G19" s="3" t="s">
        <v>70</v>
      </c>
      <c r="H19" s="3">
        <v>15</v>
      </c>
    </row>
    <row r="20" spans="1:8">
      <c r="A20" s="2">
        <v>19</v>
      </c>
      <c r="B20" s="3" t="s">
        <v>71</v>
      </c>
      <c r="C20" s="3" t="s">
        <v>72</v>
      </c>
      <c r="D20" s="3" t="s">
        <v>10</v>
      </c>
      <c r="E20" s="2">
        <v>4</v>
      </c>
      <c r="F20" s="4">
        <v>15500</v>
      </c>
      <c r="G20" s="3" t="s">
        <v>73</v>
      </c>
      <c r="H20" s="3">
        <v>19</v>
      </c>
    </row>
    <row r="21" spans="1:8">
      <c r="A21" s="2">
        <v>20</v>
      </c>
      <c r="B21" s="3" t="s">
        <v>74</v>
      </c>
      <c r="C21" s="3" t="s">
        <v>75</v>
      </c>
      <c r="D21" s="3" t="s">
        <v>26</v>
      </c>
      <c r="E21" s="2">
        <v>3</v>
      </c>
      <c r="F21" s="4">
        <v>10800</v>
      </c>
      <c r="G21" s="3" t="s">
        <v>76</v>
      </c>
      <c r="H21" s="3">
        <v>1</v>
      </c>
    </row>
    <row r="22" spans="1:8">
      <c r="A22" s="2">
        <v>21</v>
      </c>
      <c r="B22" s="3" t="s">
        <v>77</v>
      </c>
      <c r="C22" s="3" t="s">
        <v>78</v>
      </c>
      <c r="D22" s="3" t="s">
        <v>3</v>
      </c>
      <c r="E22" s="2">
        <v>2</v>
      </c>
      <c r="F22" s="4">
        <v>3780</v>
      </c>
      <c r="G22" s="3" t="s">
        <v>54</v>
      </c>
      <c r="H22" s="3">
        <v>41</v>
      </c>
    </row>
    <row r="23" spans="1:8">
      <c r="A23" s="2">
        <v>22</v>
      </c>
      <c r="B23" s="3" t="s">
        <v>79</v>
      </c>
      <c r="C23" s="3" t="s">
        <v>80</v>
      </c>
      <c r="D23" s="3" t="s">
        <v>3</v>
      </c>
      <c r="E23" s="2">
        <v>3</v>
      </c>
      <c r="F23" s="4">
        <v>3860</v>
      </c>
      <c r="G23" s="3" t="s">
        <v>54</v>
      </c>
      <c r="H23" s="3">
        <v>42</v>
      </c>
    </row>
    <row r="24" spans="1:8">
      <c r="A24" s="2">
        <v>23</v>
      </c>
      <c r="B24" s="3" t="s">
        <v>81</v>
      </c>
      <c r="C24" s="3" t="s">
        <v>82</v>
      </c>
      <c r="D24" s="3" t="s">
        <v>3</v>
      </c>
      <c r="E24" s="2">
        <v>4</v>
      </c>
      <c r="F24" s="4">
        <v>3940</v>
      </c>
      <c r="G24" s="3" t="s">
        <v>54</v>
      </c>
      <c r="H24" s="3">
        <v>43</v>
      </c>
    </row>
    <row r="25" spans="1:8">
      <c r="A25" s="2">
        <v>24</v>
      </c>
      <c r="B25" s="3" t="s">
        <v>83</v>
      </c>
      <c r="C25" s="3" t="s">
        <v>84</v>
      </c>
      <c r="D25" s="3" t="s">
        <v>3</v>
      </c>
      <c r="E25" s="2">
        <v>1</v>
      </c>
      <c r="F25" s="4">
        <v>4020</v>
      </c>
      <c r="G25" s="3" t="s">
        <v>54</v>
      </c>
      <c r="H25" s="3">
        <v>44</v>
      </c>
    </row>
    <row r="26" spans="1:8">
      <c r="A26" s="2">
        <v>25</v>
      </c>
      <c r="B26" s="3" t="s">
        <v>85</v>
      </c>
      <c r="C26" s="3" t="s">
        <v>86</v>
      </c>
      <c r="D26" s="3" t="s">
        <v>3</v>
      </c>
      <c r="E26" s="2">
        <v>2</v>
      </c>
      <c r="F26" s="4">
        <v>4100</v>
      </c>
      <c r="G26" s="3" t="s">
        <v>54</v>
      </c>
      <c r="H26" s="3">
        <v>45</v>
      </c>
    </row>
    <row r="27" spans="1:8">
      <c r="A27" s="2">
        <v>26</v>
      </c>
      <c r="B27" s="3" t="s">
        <v>87</v>
      </c>
      <c r="C27" s="3" t="s">
        <v>88</v>
      </c>
      <c r="D27" s="3" t="s">
        <v>3</v>
      </c>
      <c r="E27" s="2">
        <v>3</v>
      </c>
      <c r="F27" s="4">
        <v>4180</v>
      </c>
      <c r="G27" s="3" t="s">
        <v>54</v>
      </c>
      <c r="H27" s="3">
        <v>46</v>
      </c>
    </row>
    <row r="28" spans="1:8">
      <c r="A28" s="2">
        <v>27</v>
      </c>
      <c r="B28" s="3" t="s">
        <v>89</v>
      </c>
      <c r="C28" s="3" t="s">
        <v>90</v>
      </c>
      <c r="D28" s="3" t="s">
        <v>3</v>
      </c>
      <c r="E28" s="2">
        <v>4</v>
      </c>
      <c r="F28" s="4">
        <v>4260</v>
      </c>
      <c r="G28" s="3" t="s">
        <v>54</v>
      </c>
      <c r="H28" s="3">
        <v>47</v>
      </c>
    </row>
    <row r="29" spans="1:8">
      <c r="A29" s="2">
        <v>28</v>
      </c>
      <c r="B29" s="3" t="s">
        <v>91</v>
      </c>
      <c r="C29" s="3" t="s">
        <v>92</v>
      </c>
      <c r="D29" s="3" t="s">
        <v>3</v>
      </c>
      <c r="E29" s="2">
        <v>1</v>
      </c>
      <c r="F29" s="4">
        <v>4340</v>
      </c>
      <c r="G29" s="3" t="s">
        <v>54</v>
      </c>
      <c r="H29" s="3">
        <v>48</v>
      </c>
    </row>
    <row r="30" spans="1:8">
      <c r="A30" s="2">
        <v>29</v>
      </c>
      <c r="B30" s="3" t="s">
        <v>93</v>
      </c>
      <c r="C30" s="3" t="s">
        <v>94</v>
      </c>
      <c r="D30" s="3" t="s">
        <v>3</v>
      </c>
      <c r="E30" s="2">
        <v>2</v>
      </c>
      <c r="F30" s="4">
        <v>4420</v>
      </c>
      <c r="G30" s="3" t="s">
        <v>54</v>
      </c>
      <c r="H30" s="3">
        <v>49</v>
      </c>
    </row>
    <row r="31" spans="1:8">
      <c r="A31" s="2">
        <v>30</v>
      </c>
      <c r="B31" s="3" t="s">
        <v>95</v>
      </c>
      <c r="C31" s="3" t="s">
        <v>96</v>
      </c>
      <c r="D31" s="3" t="s">
        <v>3</v>
      </c>
      <c r="E31" s="2">
        <v>3</v>
      </c>
      <c r="F31" s="4">
        <v>4500</v>
      </c>
      <c r="G31" s="3" t="s">
        <v>54</v>
      </c>
      <c r="H31" s="3">
        <v>20</v>
      </c>
    </row>
    <row r="32" spans="1:8">
      <c r="A32" s="2">
        <v>31</v>
      </c>
      <c r="B32" s="3" t="s">
        <v>97</v>
      </c>
      <c r="C32" s="3" t="s">
        <v>98</v>
      </c>
      <c r="D32" s="3" t="s">
        <v>3</v>
      </c>
      <c r="E32" s="2">
        <v>4</v>
      </c>
      <c r="F32" s="4">
        <v>4580</v>
      </c>
      <c r="G32" s="3" t="s">
        <v>54</v>
      </c>
      <c r="H32" s="3">
        <v>21</v>
      </c>
    </row>
    <row r="33" spans="1:8">
      <c r="A33" s="2">
        <v>32</v>
      </c>
      <c r="B33" s="3" t="s">
        <v>99</v>
      </c>
      <c r="C33" s="3" t="s">
        <v>100</v>
      </c>
      <c r="D33" s="3" t="s">
        <v>3</v>
      </c>
      <c r="E33" s="2">
        <v>1</v>
      </c>
      <c r="F33" s="4">
        <v>4660</v>
      </c>
      <c r="G33" s="3" t="s">
        <v>54</v>
      </c>
      <c r="H33" s="3">
        <v>22</v>
      </c>
    </row>
    <row r="34" spans="1:8">
      <c r="A34" s="2">
        <v>33</v>
      </c>
      <c r="B34" s="3" t="s">
        <v>101</v>
      </c>
      <c r="C34" s="3" t="s">
        <v>102</v>
      </c>
      <c r="D34" s="3" t="s">
        <v>3</v>
      </c>
      <c r="E34" s="2">
        <v>2</v>
      </c>
      <c r="F34" s="4">
        <v>4740</v>
      </c>
      <c r="G34" s="3" t="s">
        <v>54</v>
      </c>
      <c r="H34" s="3">
        <v>23</v>
      </c>
    </row>
    <row r="35" spans="1:8">
      <c r="A35" s="2">
        <v>34</v>
      </c>
      <c r="B35" s="3" t="s">
        <v>103</v>
      </c>
      <c r="C35" s="3" t="s">
        <v>104</v>
      </c>
      <c r="D35" s="3" t="s">
        <v>3</v>
      </c>
      <c r="E35" s="2">
        <v>3</v>
      </c>
      <c r="F35" s="4">
        <v>4820</v>
      </c>
      <c r="G35" s="3" t="s">
        <v>54</v>
      </c>
      <c r="H35" s="3">
        <v>24</v>
      </c>
    </row>
    <row r="36" spans="1:8">
      <c r="A36" s="2">
        <v>35</v>
      </c>
      <c r="B36" s="3" t="s">
        <v>105</v>
      </c>
      <c r="C36" s="3" t="s">
        <v>106</v>
      </c>
      <c r="D36" s="3" t="s">
        <v>3</v>
      </c>
      <c r="E36" s="2">
        <v>4</v>
      </c>
      <c r="F36" s="4">
        <v>4900</v>
      </c>
      <c r="G36" s="3" t="s">
        <v>54</v>
      </c>
      <c r="H36" s="3">
        <v>25</v>
      </c>
    </row>
    <row r="37" spans="1:8">
      <c r="A37" s="2">
        <v>36</v>
      </c>
      <c r="B37" s="3" t="s">
        <v>107</v>
      </c>
      <c r="C37" s="3" t="s">
        <v>108</v>
      </c>
      <c r="D37" s="3" t="s">
        <v>3</v>
      </c>
      <c r="E37" s="2">
        <v>1</v>
      </c>
      <c r="F37" s="4">
        <v>4980</v>
      </c>
      <c r="G37" s="3" t="s">
        <v>54</v>
      </c>
      <c r="H37" s="3">
        <v>26</v>
      </c>
    </row>
    <row r="38" spans="1:8">
      <c r="A38" s="2">
        <v>37</v>
      </c>
      <c r="B38" s="3" t="s">
        <v>109</v>
      </c>
      <c r="C38" s="3" t="s">
        <v>110</v>
      </c>
      <c r="D38" s="3" t="s">
        <v>3</v>
      </c>
      <c r="E38" s="2">
        <v>2</v>
      </c>
      <c r="F38" s="4">
        <v>5060</v>
      </c>
      <c r="G38" s="3" t="s">
        <v>54</v>
      </c>
      <c r="H38" s="3">
        <v>27</v>
      </c>
    </row>
    <row r="39" spans="1:8">
      <c r="A39" s="2">
        <v>38</v>
      </c>
      <c r="B39" s="3" t="s">
        <v>111</v>
      </c>
      <c r="C39" s="3" t="s">
        <v>112</v>
      </c>
      <c r="D39" s="3" t="s">
        <v>3</v>
      </c>
      <c r="E39" s="2">
        <v>3</v>
      </c>
      <c r="F39" s="4">
        <v>5140</v>
      </c>
      <c r="G39" s="3" t="s">
        <v>54</v>
      </c>
      <c r="H39" s="3">
        <v>28</v>
      </c>
    </row>
    <row r="40" spans="1:8">
      <c r="A40" s="2">
        <v>39</v>
      </c>
      <c r="B40" s="3" t="s">
        <v>113</v>
      </c>
      <c r="C40" s="3" t="s">
        <v>114</v>
      </c>
      <c r="D40" s="3" t="s">
        <v>3</v>
      </c>
      <c r="E40" s="2">
        <v>4</v>
      </c>
      <c r="F40" s="4">
        <v>5220</v>
      </c>
      <c r="G40" s="3" t="s">
        <v>54</v>
      </c>
      <c r="H40" s="3">
        <v>29</v>
      </c>
    </row>
    <row r="41" spans="1:8">
      <c r="A41" s="2">
        <v>40</v>
      </c>
      <c r="B41" s="3" t="s">
        <v>115</v>
      </c>
      <c r="C41" s="3" t="s">
        <v>116</v>
      </c>
      <c r="D41" s="3" t="s">
        <v>3</v>
      </c>
      <c r="E41" s="2">
        <v>1</v>
      </c>
      <c r="F41" s="4">
        <v>5300</v>
      </c>
      <c r="G41" s="3" t="s">
        <v>54</v>
      </c>
      <c r="H41" s="3">
        <v>30</v>
      </c>
    </row>
    <row r="42" spans="1:8">
      <c r="A42" s="2">
        <v>41</v>
      </c>
      <c r="B42" s="3" t="s">
        <v>117</v>
      </c>
      <c r="C42" s="3" t="s">
        <v>118</v>
      </c>
      <c r="D42" s="3" t="s">
        <v>3</v>
      </c>
      <c r="E42" s="2">
        <v>2</v>
      </c>
      <c r="F42" s="4">
        <v>5380</v>
      </c>
      <c r="G42" s="3" t="s">
        <v>54</v>
      </c>
      <c r="H42" s="3">
        <v>31</v>
      </c>
    </row>
    <row r="43" spans="1:8">
      <c r="A43" s="2">
        <v>42</v>
      </c>
      <c r="B43" s="3" t="s">
        <v>119</v>
      </c>
      <c r="C43" s="3" t="s">
        <v>120</v>
      </c>
      <c r="D43" s="3" t="s">
        <v>3</v>
      </c>
      <c r="E43" s="2">
        <v>3</v>
      </c>
      <c r="F43" s="4">
        <v>5460</v>
      </c>
      <c r="G43" s="3" t="s">
        <v>54</v>
      </c>
      <c r="H43" s="3">
        <v>32</v>
      </c>
    </row>
    <row r="44" spans="1:8">
      <c r="A44" s="2">
        <v>43</v>
      </c>
      <c r="B44" s="3" t="s">
        <v>121</v>
      </c>
      <c r="C44" s="3" t="s">
        <v>122</v>
      </c>
      <c r="D44" s="3" t="s">
        <v>3</v>
      </c>
      <c r="E44" s="2">
        <v>4</v>
      </c>
      <c r="F44" s="4">
        <v>5540</v>
      </c>
      <c r="G44" s="3" t="s">
        <v>54</v>
      </c>
      <c r="H44" s="3">
        <v>33</v>
      </c>
    </row>
    <row r="45" spans="1:8">
      <c r="A45" s="2">
        <v>44</v>
      </c>
      <c r="B45" s="3" t="s">
        <v>123</v>
      </c>
      <c r="C45" s="3" t="s">
        <v>124</v>
      </c>
      <c r="D45" s="3" t="s">
        <v>3</v>
      </c>
      <c r="E45" s="2">
        <v>1</v>
      </c>
      <c r="F45" s="4">
        <v>5620</v>
      </c>
      <c r="G45" s="3" t="s">
        <v>54</v>
      </c>
      <c r="H45" s="3">
        <v>34</v>
      </c>
    </row>
    <row r="46" spans="1:8">
      <c r="A46" s="2">
        <v>45</v>
      </c>
      <c r="B46" s="3" t="s">
        <v>125</v>
      </c>
      <c r="C46" s="3" t="s">
        <v>126</v>
      </c>
      <c r="D46" s="3" t="s">
        <v>3</v>
      </c>
      <c r="E46" s="2">
        <v>2</v>
      </c>
      <c r="F46" s="4">
        <v>5700</v>
      </c>
      <c r="G46" s="3" t="s">
        <v>54</v>
      </c>
      <c r="H46" s="3">
        <v>35</v>
      </c>
    </row>
    <row r="47" spans="1:8">
      <c r="A47" s="2">
        <v>46</v>
      </c>
      <c r="B47" s="3" t="s">
        <v>127</v>
      </c>
      <c r="C47" s="3" t="s">
        <v>128</v>
      </c>
      <c r="D47" s="3" t="s">
        <v>3</v>
      </c>
      <c r="E47" s="2">
        <v>3</v>
      </c>
      <c r="F47" s="4">
        <v>5780</v>
      </c>
      <c r="G47" s="3" t="s">
        <v>54</v>
      </c>
      <c r="H47" s="3">
        <v>36</v>
      </c>
    </row>
    <row r="48" spans="1:8">
      <c r="A48" s="2">
        <v>47</v>
      </c>
      <c r="B48" s="3" t="s">
        <v>129</v>
      </c>
      <c r="C48" s="3" t="s">
        <v>130</v>
      </c>
      <c r="D48" s="3" t="s">
        <v>3</v>
      </c>
      <c r="E48" s="2">
        <v>4</v>
      </c>
      <c r="F48" s="4">
        <v>5860</v>
      </c>
      <c r="G48" s="3" t="s">
        <v>54</v>
      </c>
      <c r="H48" s="3">
        <v>37</v>
      </c>
    </row>
    <row r="49" spans="1:8">
      <c r="A49" s="2">
        <v>48</v>
      </c>
      <c r="B49" s="3" t="s">
        <v>131</v>
      </c>
      <c r="C49" s="3" t="s">
        <v>132</v>
      </c>
      <c r="D49" s="3" t="s">
        <v>3</v>
      </c>
      <c r="E49" s="2">
        <v>1</v>
      </c>
      <c r="F49" s="4">
        <v>5940</v>
      </c>
      <c r="G49" s="3" t="s">
        <v>54</v>
      </c>
      <c r="H49" s="3">
        <v>38</v>
      </c>
    </row>
    <row r="50" spans="1:8">
      <c r="A50" s="2">
        <v>49</v>
      </c>
      <c r="B50" s="3" t="s">
        <v>133</v>
      </c>
      <c r="C50" s="3" t="s">
        <v>134</v>
      </c>
      <c r="D50" s="3" t="s">
        <v>3</v>
      </c>
      <c r="E50" s="2">
        <v>2</v>
      </c>
      <c r="F50" s="4">
        <v>6020</v>
      </c>
      <c r="G50" s="3" t="s">
        <v>54</v>
      </c>
      <c r="H50" s="3">
        <v>39</v>
      </c>
    </row>
    <row r="51" spans="1:8">
      <c r="A51" s="2">
        <v>50</v>
      </c>
      <c r="B51" s="3" t="s">
        <v>135</v>
      </c>
      <c r="C51" s="3" t="s">
        <v>136</v>
      </c>
      <c r="D51" s="3" t="s">
        <v>3</v>
      </c>
      <c r="E51" s="2">
        <v>3</v>
      </c>
      <c r="F51" s="4">
        <v>6100</v>
      </c>
      <c r="G51" s="3" t="s">
        <v>54</v>
      </c>
      <c r="H51" s="3">
        <v>40</v>
      </c>
    </row>
    <row r="52" spans="1:8">
      <c r="A52" s="2">
        <v>51</v>
      </c>
      <c r="B52" s="3" t="s">
        <v>137</v>
      </c>
      <c r="C52" s="3" t="s">
        <v>138</v>
      </c>
      <c r="D52" s="3" t="s">
        <v>3</v>
      </c>
      <c r="E52" s="2">
        <v>4</v>
      </c>
      <c r="F52" s="4">
        <v>6180</v>
      </c>
      <c r="G52" s="3" t="s">
        <v>54</v>
      </c>
      <c r="H52" s="3">
        <v>41</v>
      </c>
    </row>
    <row r="53" spans="1:8">
      <c r="A53" s="2">
        <v>52</v>
      </c>
      <c r="B53" s="3" t="s">
        <v>139</v>
      </c>
      <c r="C53" s="3" t="s">
        <v>140</v>
      </c>
      <c r="D53" s="3" t="s">
        <v>3</v>
      </c>
      <c r="E53" s="2">
        <v>1</v>
      </c>
      <c r="F53" s="4">
        <v>6260</v>
      </c>
      <c r="G53" s="3" t="s">
        <v>54</v>
      </c>
      <c r="H53" s="3">
        <v>42</v>
      </c>
    </row>
    <row r="54" spans="1:8">
      <c r="A54" s="2">
        <v>53</v>
      </c>
      <c r="B54" s="3" t="s">
        <v>141</v>
      </c>
      <c r="C54" s="3" t="s">
        <v>142</v>
      </c>
      <c r="D54" s="3" t="s">
        <v>3</v>
      </c>
      <c r="E54" s="2">
        <v>2</v>
      </c>
      <c r="F54" s="4">
        <v>6340</v>
      </c>
      <c r="G54" s="3" t="s">
        <v>54</v>
      </c>
      <c r="H54" s="3">
        <v>43</v>
      </c>
    </row>
    <row r="55" spans="1:8">
      <c r="A55" s="2">
        <v>54</v>
      </c>
      <c r="B55" s="3" t="s">
        <v>143</v>
      </c>
      <c r="C55" s="3" t="s">
        <v>144</v>
      </c>
      <c r="D55" s="3" t="s">
        <v>3</v>
      </c>
      <c r="E55" s="2">
        <v>3</v>
      </c>
      <c r="F55" s="4">
        <v>6420</v>
      </c>
      <c r="G55" s="3" t="s">
        <v>54</v>
      </c>
      <c r="H55" s="3">
        <v>44</v>
      </c>
    </row>
    <row r="56" spans="1:8">
      <c r="A56" s="2">
        <v>55</v>
      </c>
      <c r="B56" s="3" t="s">
        <v>145</v>
      </c>
      <c r="C56" s="3" t="s">
        <v>146</v>
      </c>
      <c r="D56" s="3" t="s">
        <v>3</v>
      </c>
      <c r="E56" s="2">
        <v>4</v>
      </c>
      <c r="F56" s="4">
        <v>6500</v>
      </c>
      <c r="G56" s="3" t="s">
        <v>54</v>
      </c>
      <c r="H56" s="3">
        <v>45</v>
      </c>
    </row>
    <row r="57" spans="1:8">
      <c r="A57" s="2">
        <v>56</v>
      </c>
      <c r="B57" s="3" t="s">
        <v>147</v>
      </c>
      <c r="C57" s="3" t="s">
        <v>148</v>
      </c>
      <c r="D57" s="3" t="s">
        <v>3</v>
      </c>
      <c r="E57" s="2">
        <v>1</v>
      </c>
      <c r="F57" s="4">
        <v>6580</v>
      </c>
      <c r="G57" s="3" t="s">
        <v>54</v>
      </c>
      <c r="H57" s="3">
        <v>46</v>
      </c>
    </row>
    <row r="58" spans="1:8">
      <c r="A58" s="2">
        <v>57</v>
      </c>
      <c r="B58" s="3" t="s">
        <v>149</v>
      </c>
      <c r="C58" s="3" t="s">
        <v>150</v>
      </c>
      <c r="D58" s="3" t="s">
        <v>3</v>
      </c>
      <c r="E58" s="2">
        <v>2</v>
      </c>
      <c r="F58" s="4">
        <v>6660</v>
      </c>
      <c r="G58" s="3" t="s">
        <v>54</v>
      </c>
      <c r="H58" s="3">
        <v>47</v>
      </c>
    </row>
    <row r="59" spans="1:8">
      <c r="A59" s="2">
        <v>58</v>
      </c>
      <c r="B59" s="3" t="s">
        <v>151</v>
      </c>
      <c r="C59" s="3" t="s">
        <v>152</v>
      </c>
      <c r="D59" s="3" t="s">
        <v>3</v>
      </c>
      <c r="E59" s="2">
        <v>3</v>
      </c>
      <c r="F59" s="4">
        <v>6740</v>
      </c>
      <c r="G59" s="3" t="s">
        <v>54</v>
      </c>
      <c r="H59" s="3">
        <v>48</v>
      </c>
    </row>
    <row r="60" spans="1:8">
      <c r="A60" s="2">
        <v>59</v>
      </c>
      <c r="B60" s="3" t="s">
        <v>153</v>
      </c>
      <c r="C60" s="3" t="s">
        <v>154</v>
      </c>
      <c r="D60" s="3" t="s">
        <v>3</v>
      </c>
      <c r="E60" s="2">
        <v>4</v>
      </c>
      <c r="F60" s="4">
        <v>6820</v>
      </c>
      <c r="G60" s="3" t="s">
        <v>54</v>
      </c>
      <c r="H60" s="3">
        <v>49</v>
      </c>
    </row>
    <row r="61" spans="1:8">
      <c r="A61" s="2">
        <v>60</v>
      </c>
      <c r="B61" s="3" t="s">
        <v>155</v>
      </c>
      <c r="C61" s="3" t="s">
        <v>156</v>
      </c>
      <c r="D61" s="3" t="s">
        <v>3</v>
      </c>
      <c r="E61" s="2">
        <v>1</v>
      </c>
      <c r="F61" s="4">
        <v>6900</v>
      </c>
      <c r="G61" s="3" t="s">
        <v>54</v>
      </c>
      <c r="H61" s="3">
        <v>20</v>
      </c>
    </row>
    <row r="62" spans="1:8">
      <c r="A62" s="2">
        <v>61</v>
      </c>
      <c r="B62" s="3" t="s">
        <v>157</v>
      </c>
      <c r="C62" s="3" t="s">
        <v>158</v>
      </c>
      <c r="D62" s="3" t="s">
        <v>3</v>
      </c>
      <c r="E62" s="2">
        <v>2</v>
      </c>
      <c r="F62" s="4">
        <v>6980</v>
      </c>
      <c r="G62" s="3" t="s">
        <v>54</v>
      </c>
      <c r="H62" s="3">
        <v>21</v>
      </c>
    </row>
    <row r="63" spans="1:8">
      <c r="A63" s="2">
        <v>62</v>
      </c>
      <c r="B63" s="3" t="s">
        <v>159</v>
      </c>
      <c r="C63" s="3" t="s">
        <v>160</v>
      </c>
      <c r="D63" s="3" t="s">
        <v>3</v>
      </c>
      <c r="E63" s="2">
        <v>3</v>
      </c>
      <c r="F63" s="4">
        <v>7060</v>
      </c>
      <c r="G63" s="3" t="s">
        <v>54</v>
      </c>
      <c r="H63" s="3">
        <v>22</v>
      </c>
    </row>
    <row r="64" spans="1:8">
      <c r="A64" s="2">
        <v>63</v>
      </c>
      <c r="B64" s="3" t="s">
        <v>161</v>
      </c>
      <c r="C64" s="3" t="s">
        <v>162</v>
      </c>
      <c r="D64" s="3" t="s">
        <v>3</v>
      </c>
      <c r="E64" s="2">
        <v>4</v>
      </c>
      <c r="F64" s="4">
        <v>7140</v>
      </c>
      <c r="G64" s="3" t="s">
        <v>54</v>
      </c>
      <c r="H64" s="3">
        <v>23</v>
      </c>
    </row>
    <row r="65" spans="1:8">
      <c r="A65" s="2">
        <v>64</v>
      </c>
      <c r="B65" s="3" t="s">
        <v>163</v>
      </c>
      <c r="C65" s="3" t="s">
        <v>164</v>
      </c>
      <c r="D65" s="3" t="s">
        <v>3</v>
      </c>
      <c r="E65" s="2">
        <v>1</v>
      </c>
      <c r="F65" s="4">
        <v>7220</v>
      </c>
      <c r="G65" s="3" t="s">
        <v>54</v>
      </c>
      <c r="H65" s="3">
        <v>24</v>
      </c>
    </row>
    <row r="66" spans="1:8">
      <c r="A66" s="2">
        <v>65</v>
      </c>
      <c r="B66" s="3" t="s">
        <v>165</v>
      </c>
      <c r="C66" s="3" t="s">
        <v>166</v>
      </c>
      <c r="D66" s="3" t="s">
        <v>3</v>
      </c>
      <c r="E66" s="2">
        <v>2</v>
      </c>
      <c r="F66" s="4">
        <v>7300</v>
      </c>
      <c r="G66" s="3" t="s">
        <v>54</v>
      </c>
      <c r="H66" s="3">
        <v>25</v>
      </c>
    </row>
    <row r="67" spans="1:8">
      <c r="A67" s="2">
        <v>66</v>
      </c>
      <c r="B67" s="3" t="s">
        <v>167</v>
      </c>
      <c r="C67" s="3" t="s">
        <v>168</v>
      </c>
      <c r="D67" s="3" t="s">
        <v>3</v>
      </c>
      <c r="E67" s="2">
        <v>3</v>
      </c>
      <c r="F67" s="4">
        <v>7380</v>
      </c>
      <c r="G67" s="3" t="s">
        <v>54</v>
      </c>
      <c r="H67" s="3">
        <v>26</v>
      </c>
    </row>
    <row r="68" spans="1:8">
      <c r="A68" s="2">
        <v>67</v>
      </c>
      <c r="B68" s="3" t="s">
        <v>169</v>
      </c>
      <c r="C68" s="3" t="s">
        <v>170</v>
      </c>
      <c r="D68" s="3" t="s">
        <v>3</v>
      </c>
      <c r="E68" s="2">
        <v>4</v>
      </c>
      <c r="F68" s="4">
        <v>7460</v>
      </c>
      <c r="G68" s="3" t="s">
        <v>54</v>
      </c>
      <c r="H68" s="3">
        <v>27</v>
      </c>
    </row>
    <row r="69" spans="1:8">
      <c r="A69" s="2">
        <v>68</v>
      </c>
      <c r="B69" s="3" t="s">
        <v>171</v>
      </c>
      <c r="C69" s="3" t="s">
        <v>172</v>
      </c>
      <c r="D69" s="3" t="s">
        <v>3</v>
      </c>
      <c r="E69" s="2">
        <v>1</v>
      </c>
      <c r="F69" s="4">
        <v>7540</v>
      </c>
      <c r="G69" s="3" t="s">
        <v>54</v>
      </c>
      <c r="H69" s="3">
        <v>28</v>
      </c>
    </row>
    <row r="70" spans="1:8">
      <c r="A70" s="2">
        <v>69</v>
      </c>
      <c r="B70" s="3" t="s">
        <v>173</v>
      </c>
      <c r="C70" s="3" t="s">
        <v>174</v>
      </c>
      <c r="D70" s="3" t="s">
        <v>3</v>
      </c>
      <c r="E70" s="2">
        <v>2</v>
      </c>
      <c r="F70" s="4">
        <v>7620</v>
      </c>
      <c r="G70" s="3" t="s">
        <v>54</v>
      </c>
      <c r="H70" s="3">
        <v>29</v>
      </c>
    </row>
    <row r="71" spans="1:8">
      <c r="A71" s="2">
        <v>70</v>
      </c>
      <c r="B71" s="3" t="s">
        <v>175</v>
      </c>
      <c r="C71" s="3" t="s">
        <v>176</v>
      </c>
      <c r="D71" s="3" t="s">
        <v>3</v>
      </c>
      <c r="E71" s="2">
        <v>3</v>
      </c>
      <c r="F71" s="4">
        <v>7700</v>
      </c>
      <c r="G71" s="3" t="s">
        <v>54</v>
      </c>
      <c r="H71" s="3">
        <v>30</v>
      </c>
    </row>
    <row r="72" spans="1:8">
      <c r="A72" s="2">
        <v>71</v>
      </c>
      <c r="B72" s="3" t="s">
        <v>177</v>
      </c>
      <c r="C72" s="3" t="s">
        <v>178</v>
      </c>
      <c r="D72" s="3" t="s">
        <v>3</v>
      </c>
      <c r="E72" s="2">
        <v>4</v>
      </c>
      <c r="F72" s="4">
        <v>7780</v>
      </c>
      <c r="G72" s="3" t="s">
        <v>54</v>
      </c>
      <c r="H72" s="3">
        <v>31</v>
      </c>
    </row>
    <row r="73" spans="1:8">
      <c r="A73" s="2">
        <v>72</v>
      </c>
      <c r="B73" s="3" t="s">
        <v>179</v>
      </c>
      <c r="C73" s="3" t="s">
        <v>180</v>
      </c>
      <c r="D73" s="3" t="s">
        <v>3</v>
      </c>
      <c r="E73" s="2">
        <v>1</v>
      </c>
      <c r="F73" s="4">
        <v>7860</v>
      </c>
      <c r="G73" s="3" t="s">
        <v>54</v>
      </c>
      <c r="H73" s="3">
        <v>32</v>
      </c>
    </row>
    <row r="74" spans="1:8">
      <c r="A74" s="2">
        <v>73</v>
      </c>
      <c r="B74" s="3" t="s">
        <v>181</v>
      </c>
      <c r="C74" s="3" t="s">
        <v>182</v>
      </c>
      <c r="D74" s="3" t="s">
        <v>3</v>
      </c>
      <c r="E74" s="2">
        <v>2</v>
      </c>
      <c r="F74" s="4">
        <v>7940</v>
      </c>
      <c r="G74" s="3" t="s">
        <v>54</v>
      </c>
      <c r="H74" s="3">
        <v>33</v>
      </c>
    </row>
    <row r="75" spans="1:8">
      <c r="A75" s="2">
        <v>74</v>
      </c>
      <c r="B75" s="3" t="s">
        <v>183</v>
      </c>
      <c r="C75" s="3" t="s">
        <v>184</v>
      </c>
      <c r="D75" s="3" t="s">
        <v>3</v>
      </c>
      <c r="E75" s="2">
        <v>3</v>
      </c>
      <c r="F75" s="4">
        <v>8020</v>
      </c>
      <c r="G75" s="3" t="s">
        <v>54</v>
      </c>
      <c r="H75" s="3">
        <v>34</v>
      </c>
    </row>
    <row r="76" spans="1:8">
      <c r="A76" s="2">
        <v>75</v>
      </c>
      <c r="B76" s="3" t="s">
        <v>185</v>
      </c>
      <c r="C76" s="3" t="s">
        <v>186</v>
      </c>
      <c r="D76" s="3" t="s">
        <v>3</v>
      </c>
      <c r="E76" s="2">
        <v>4</v>
      </c>
      <c r="F76" s="4">
        <v>8100</v>
      </c>
      <c r="G76" s="3" t="s">
        <v>54</v>
      </c>
      <c r="H76" s="3">
        <v>35</v>
      </c>
    </row>
    <row r="77" spans="1:8">
      <c r="A77" s="2">
        <v>76</v>
      </c>
      <c r="B77" s="3" t="s">
        <v>187</v>
      </c>
      <c r="C77" s="3" t="s">
        <v>188</v>
      </c>
      <c r="D77" s="3" t="s">
        <v>3</v>
      </c>
      <c r="E77" s="2">
        <v>1</v>
      </c>
      <c r="F77" s="4">
        <v>8180</v>
      </c>
      <c r="G77" s="3" t="s">
        <v>54</v>
      </c>
      <c r="H77" s="3">
        <v>36</v>
      </c>
    </row>
    <row r="78" spans="1:8">
      <c r="A78" s="2">
        <v>77</v>
      </c>
      <c r="B78" s="3" t="s">
        <v>189</v>
      </c>
      <c r="C78" s="3" t="s">
        <v>190</v>
      </c>
      <c r="D78" s="3" t="s">
        <v>3</v>
      </c>
      <c r="E78" s="2">
        <v>2</v>
      </c>
      <c r="F78" s="4">
        <v>8260</v>
      </c>
      <c r="G78" s="3" t="s">
        <v>54</v>
      </c>
      <c r="H78" s="3">
        <v>37</v>
      </c>
    </row>
    <row r="79" spans="1:8">
      <c r="A79" s="2">
        <v>78</v>
      </c>
      <c r="B79" s="3" t="s">
        <v>191</v>
      </c>
      <c r="C79" s="3" t="s">
        <v>192</v>
      </c>
      <c r="D79" s="3" t="s">
        <v>3</v>
      </c>
      <c r="E79" s="2">
        <v>3</v>
      </c>
      <c r="F79" s="4">
        <v>8340</v>
      </c>
      <c r="G79" s="3" t="s">
        <v>54</v>
      </c>
      <c r="H79" s="3">
        <v>38</v>
      </c>
    </row>
    <row r="80" spans="1:8">
      <c r="A80" s="2">
        <v>79</v>
      </c>
      <c r="B80" s="3" t="s">
        <v>193</v>
      </c>
      <c r="C80" s="3" t="s">
        <v>194</v>
      </c>
      <c r="D80" s="3" t="s">
        <v>3</v>
      </c>
      <c r="E80" s="2">
        <v>4</v>
      </c>
      <c r="F80" s="4">
        <v>8420</v>
      </c>
      <c r="G80" s="3" t="s">
        <v>54</v>
      </c>
      <c r="H80" s="3">
        <v>39</v>
      </c>
    </row>
    <row r="81" spans="1:8">
      <c r="A81" s="2">
        <v>80</v>
      </c>
      <c r="B81" s="3" t="s">
        <v>195</v>
      </c>
      <c r="C81" s="3" t="s">
        <v>196</v>
      </c>
      <c r="D81" s="3" t="s">
        <v>3</v>
      </c>
      <c r="E81" s="2">
        <v>1</v>
      </c>
      <c r="F81" s="4">
        <v>8500</v>
      </c>
      <c r="G81" s="3" t="s">
        <v>54</v>
      </c>
      <c r="H81" s="3">
        <v>40</v>
      </c>
    </row>
    <row r="82" spans="1:8">
      <c r="A82" s="2">
        <v>81</v>
      </c>
      <c r="B82" s="3" t="s">
        <v>197</v>
      </c>
      <c r="C82" s="3" t="s">
        <v>198</v>
      </c>
      <c r="D82" s="3" t="s">
        <v>3</v>
      </c>
      <c r="E82" s="2">
        <v>2</v>
      </c>
      <c r="F82" s="4">
        <v>8580</v>
      </c>
      <c r="G82" s="3" t="s">
        <v>54</v>
      </c>
      <c r="H82" s="3">
        <v>41</v>
      </c>
    </row>
    <row r="83" spans="1:8">
      <c r="A83" s="2">
        <v>82</v>
      </c>
      <c r="B83" s="3" t="s">
        <v>199</v>
      </c>
      <c r="C83" s="3" t="s">
        <v>200</v>
      </c>
      <c r="D83" s="3" t="s">
        <v>3</v>
      </c>
      <c r="E83" s="2">
        <v>3</v>
      </c>
      <c r="F83" s="4">
        <v>8660</v>
      </c>
      <c r="G83" s="3" t="s">
        <v>54</v>
      </c>
      <c r="H83" s="3">
        <v>42</v>
      </c>
    </row>
    <row r="84" spans="1:8">
      <c r="A84" s="2">
        <v>83</v>
      </c>
      <c r="B84" s="3" t="s">
        <v>201</v>
      </c>
      <c r="C84" s="3" t="s">
        <v>202</v>
      </c>
      <c r="D84" s="3" t="s">
        <v>3</v>
      </c>
      <c r="E84" s="2">
        <v>4</v>
      </c>
      <c r="F84" s="4">
        <v>8740</v>
      </c>
      <c r="G84" s="3" t="s">
        <v>54</v>
      </c>
      <c r="H84" s="3">
        <v>43</v>
      </c>
    </row>
    <row r="85" spans="1:8">
      <c r="A85" s="2">
        <v>84</v>
      </c>
      <c r="B85" s="3" t="s">
        <v>203</v>
      </c>
      <c r="C85" s="3" t="s">
        <v>204</v>
      </c>
      <c r="D85" s="3" t="s">
        <v>3</v>
      </c>
      <c r="E85" s="2">
        <v>1</v>
      </c>
      <c r="F85" s="4">
        <v>8820</v>
      </c>
      <c r="G85" s="3" t="s">
        <v>54</v>
      </c>
      <c r="H85" s="3">
        <v>44</v>
      </c>
    </row>
    <row r="86" spans="1:8">
      <c r="A86" s="2">
        <v>85</v>
      </c>
      <c r="B86" s="3" t="s">
        <v>205</v>
      </c>
      <c r="C86" s="3" t="s">
        <v>206</v>
      </c>
      <c r="D86" s="3" t="s">
        <v>3</v>
      </c>
      <c r="E86" s="2">
        <v>2</v>
      </c>
      <c r="F86" s="4">
        <v>8900</v>
      </c>
      <c r="G86" s="3" t="s">
        <v>54</v>
      </c>
      <c r="H86" s="3">
        <v>45</v>
      </c>
    </row>
    <row r="87" spans="1:8">
      <c r="A87" s="2">
        <v>86</v>
      </c>
      <c r="B87" s="3" t="s">
        <v>207</v>
      </c>
      <c r="C87" s="3" t="s">
        <v>208</v>
      </c>
      <c r="D87" s="3" t="s">
        <v>3</v>
      </c>
      <c r="E87" s="2">
        <v>3</v>
      </c>
      <c r="F87" s="4">
        <v>8980</v>
      </c>
      <c r="G87" s="3" t="s">
        <v>54</v>
      </c>
      <c r="H87" s="3">
        <v>46</v>
      </c>
    </row>
    <row r="88" spans="1:8">
      <c r="A88" s="2">
        <v>87</v>
      </c>
      <c r="B88" s="3" t="s">
        <v>209</v>
      </c>
      <c r="C88" s="3" t="s">
        <v>210</v>
      </c>
      <c r="D88" s="3" t="s">
        <v>3</v>
      </c>
      <c r="E88" s="2">
        <v>4</v>
      </c>
      <c r="F88" s="4">
        <v>9060</v>
      </c>
      <c r="G88" s="3" t="s">
        <v>54</v>
      </c>
      <c r="H88" s="3">
        <v>47</v>
      </c>
    </row>
    <row r="89" spans="1:8">
      <c r="A89" s="2">
        <v>88</v>
      </c>
      <c r="B89" s="3" t="s">
        <v>211</v>
      </c>
      <c r="C89" s="3" t="s">
        <v>212</v>
      </c>
      <c r="D89" s="3" t="s">
        <v>3</v>
      </c>
      <c r="E89" s="2">
        <v>1</v>
      </c>
      <c r="F89" s="4">
        <v>9140</v>
      </c>
      <c r="G89" s="3" t="s">
        <v>54</v>
      </c>
      <c r="H89" s="3">
        <v>48</v>
      </c>
    </row>
    <row r="90" spans="1:8">
      <c r="A90" s="2">
        <v>89</v>
      </c>
      <c r="B90" s="3" t="s">
        <v>213</v>
      </c>
      <c r="C90" s="3" t="s">
        <v>214</v>
      </c>
      <c r="D90" s="3" t="s">
        <v>3</v>
      </c>
      <c r="E90" s="2">
        <v>2</v>
      </c>
      <c r="F90" s="4">
        <v>9220</v>
      </c>
      <c r="G90" s="3" t="s">
        <v>54</v>
      </c>
      <c r="H90" s="3">
        <v>49</v>
      </c>
    </row>
    <row r="91" spans="1:8">
      <c r="A91" s="2">
        <v>90</v>
      </c>
      <c r="B91" s="3" t="s">
        <v>215</v>
      </c>
      <c r="C91" s="3" t="s">
        <v>216</v>
      </c>
      <c r="D91" s="3" t="s">
        <v>3</v>
      </c>
      <c r="E91" s="2">
        <v>3</v>
      </c>
      <c r="F91" s="4">
        <v>9300</v>
      </c>
      <c r="G91" s="3" t="s">
        <v>54</v>
      </c>
      <c r="H91" s="3">
        <v>20</v>
      </c>
    </row>
    <row r="92" spans="1:8">
      <c r="A92" s="2">
        <v>91</v>
      </c>
      <c r="B92" s="3" t="s">
        <v>217</v>
      </c>
      <c r="C92" s="3" t="s">
        <v>218</v>
      </c>
      <c r="D92" s="3" t="s">
        <v>3</v>
      </c>
      <c r="E92" s="2">
        <v>4</v>
      </c>
      <c r="F92" s="4">
        <v>9380</v>
      </c>
      <c r="G92" s="3" t="s">
        <v>54</v>
      </c>
      <c r="H92" s="3">
        <v>21</v>
      </c>
    </row>
    <row r="93" spans="1:8">
      <c r="A93" s="2">
        <v>92</v>
      </c>
      <c r="B93" s="3" t="s">
        <v>219</v>
      </c>
      <c r="C93" s="3" t="s">
        <v>220</v>
      </c>
      <c r="D93" s="3" t="s">
        <v>3</v>
      </c>
      <c r="E93" s="2">
        <v>1</v>
      </c>
      <c r="F93" s="4">
        <v>9460</v>
      </c>
      <c r="G93" s="3" t="s">
        <v>54</v>
      </c>
      <c r="H93" s="3">
        <v>22</v>
      </c>
    </row>
    <row r="94" spans="1:8">
      <c r="A94" s="2">
        <v>93</v>
      </c>
      <c r="B94" s="3" t="s">
        <v>221</v>
      </c>
      <c r="C94" s="3" t="s">
        <v>222</v>
      </c>
      <c r="D94" s="3" t="s">
        <v>3</v>
      </c>
      <c r="E94" s="2">
        <v>2</v>
      </c>
      <c r="F94" s="4">
        <v>9540</v>
      </c>
      <c r="G94" s="3" t="s">
        <v>54</v>
      </c>
      <c r="H94" s="3">
        <v>23</v>
      </c>
    </row>
    <row r="95" spans="1:8">
      <c r="A95" s="2">
        <v>94</v>
      </c>
      <c r="B95" s="3" t="s">
        <v>223</v>
      </c>
      <c r="C95" s="3" t="s">
        <v>224</v>
      </c>
      <c r="D95" s="3" t="s">
        <v>3</v>
      </c>
      <c r="E95" s="2">
        <v>3</v>
      </c>
      <c r="F95" s="4">
        <v>9620</v>
      </c>
      <c r="G95" s="3" t="s">
        <v>54</v>
      </c>
      <c r="H95" s="3">
        <v>24</v>
      </c>
    </row>
    <row r="96" spans="1:8">
      <c r="A96" s="2">
        <v>95</v>
      </c>
      <c r="B96" s="3" t="s">
        <v>225</v>
      </c>
      <c r="C96" s="3" t="s">
        <v>226</v>
      </c>
      <c r="D96" s="3" t="s">
        <v>3</v>
      </c>
      <c r="E96" s="2">
        <v>4</v>
      </c>
      <c r="F96" s="4">
        <v>9700</v>
      </c>
      <c r="G96" s="3" t="s">
        <v>54</v>
      </c>
      <c r="H96" s="3">
        <v>25</v>
      </c>
    </row>
    <row r="97" spans="1:8">
      <c r="A97" s="2">
        <v>96</v>
      </c>
      <c r="B97" s="3" t="s">
        <v>227</v>
      </c>
      <c r="C97" s="3" t="s">
        <v>228</v>
      </c>
      <c r="D97" s="3" t="s">
        <v>3</v>
      </c>
      <c r="E97" s="2">
        <v>1</v>
      </c>
      <c r="F97" s="4">
        <v>9780</v>
      </c>
      <c r="G97" s="3" t="s">
        <v>54</v>
      </c>
      <c r="H97" s="3">
        <v>26</v>
      </c>
    </row>
    <row r="98" spans="1:8">
      <c r="A98" s="2">
        <v>97</v>
      </c>
      <c r="B98" s="3" t="s">
        <v>229</v>
      </c>
      <c r="C98" s="3" t="s">
        <v>230</v>
      </c>
      <c r="D98" s="3" t="s">
        <v>3</v>
      </c>
      <c r="E98" s="2">
        <v>2</v>
      </c>
      <c r="F98" s="4">
        <v>9860</v>
      </c>
      <c r="G98" s="3" t="s">
        <v>54</v>
      </c>
      <c r="H98" s="3">
        <v>27</v>
      </c>
    </row>
    <row r="99" spans="1:8">
      <c r="A99" s="2">
        <v>98</v>
      </c>
      <c r="B99" s="3" t="s">
        <v>231</v>
      </c>
      <c r="C99" s="3" t="s">
        <v>232</v>
      </c>
      <c r="D99" s="3" t="s">
        <v>3</v>
      </c>
      <c r="E99" s="2">
        <v>3</v>
      </c>
      <c r="F99" s="4">
        <v>9940</v>
      </c>
      <c r="G99" s="3" t="s">
        <v>54</v>
      </c>
      <c r="H99" s="3">
        <v>28</v>
      </c>
    </row>
    <row r="100" spans="1:8">
      <c r="A100" s="2">
        <v>99</v>
      </c>
      <c r="B100" s="3" t="s">
        <v>233</v>
      </c>
      <c r="C100" s="3" t="s">
        <v>234</v>
      </c>
      <c r="D100" s="3" t="s">
        <v>3</v>
      </c>
      <c r="E100" s="2">
        <v>4</v>
      </c>
      <c r="F100" s="4">
        <v>10020</v>
      </c>
      <c r="G100" s="3" t="s">
        <v>54</v>
      </c>
      <c r="H100" s="3">
        <v>29</v>
      </c>
    </row>
    <row r="101" spans="1:8">
      <c r="A101" s="2">
        <v>100</v>
      </c>
      <c r="B101" s="3" t="s">
        <v>235</v>
      </c>
      <c r="C101" s="3" t="s">
        <v>236</v>
      </c>
      <c r="D101" s="3" t="s">
        <v>3</v>
      </c>
      <c r="E101" s="2">
        <v>1</v>
      </c>
      <c r="F101" s="4">
        <v>10100</v>
      </c>
      <c r="G101" s="3" t="s">
        <v>54</v>
      </c>
      <c r="H101" s="3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"/>
  <sheetViews>
    <sheetView tabSelected="1" workbookViewId="0">
      <selection activeCell="I6" sqref="I6"/>
    </sheetView>
  </sheetViews>
  <sheetFormatPr defaultRowHeight="14.4"/>
  <cols>
    <col min="1" max="1" width="12" customWidth="1"/>
    <col min="2" max="2" width="18" customWidth="1"/>
    <col min="3" max="3" width="12" customWidth="1"/>
    <col min="4" max="4" width="15" customWidth="1"/>
    <col min="5" max="5" width="14" customWidth="1"/>
    <col min="6" max="9" width="12" customWidth="1"/>
    <col min="10" max="10" width="14" customWidth="1"/>
  </cols>
  <sheetData>
    <row r="1" spans="1:10" ht="25.05" customHeight="1">
      <c r="A1" s="1" t="s">
        <v>0</v>
      </c>
      <c r="B1" s="1" t="s">
        <v>1</v>
      </c>
      <c r="C1" s="1" t="s">
        <v>4</v>
      </c>
      <c r="D1" s="1" t="s">
        <v>5</v>
      </c>
      <c r="E1" s="1" t="s">
        <v>7</v>
      </c>
      <c r="F1" s="1" t="s">
        <v>237</v>
      </c>
      <c r="G1" s="1" t="s">
        <v>238</v>
      </c>
      <c r="H1" s="1" t="s">
        <v>239</v>
      </c>
      <c r="I1" s="1" t="s">
        <v>240</v>
      </c>
      <c r="J1" s="1" t="s">
        <v>241</v>
      </c>
    </row>
    <row r="2" spans="1:10">
      <c r="A2" s="5">
        <f>'Raw Data'!A2</f>
        <v>1</v>
      </c>
      <c r="B2" s="3" t="str">
        <f>'Raw Data'!B2</f>
        <v>Rajesh Kumar</v>
      </c>
      <c r="C2" s="5">
        <f>'Raw Data'!E2</f>
        <v>4</v>
      </c>
      <c r="D2" s="4">
        <f>'Raw Data'!F2</f>
        <v>18700</v>
      </c>
      <c r="E2" s="5">
        <f>'Raw Data'!H2</f>
        <v>6</v>
      </c>
      <c r="F2" s="6">
        <f t="shared" ref="F2:F33" si="0">IF(E2&lt;=30,4,IF(E2&lt;=90,3,IF(E2&lt;=180,2,1)))</f>
        <v>4</v>
      </c>
      <c r="G2" s="6">
        <f t="shared" ref="G2:G33" si="1">IF(C2=1,1,IF(C2=2,2,IF(C2=3,3,4)))</f>
        <v>4</v>
      </c>
      <c r="H2" s="6">
        <f t="shared" ref="H2:H33" si="2">IF(D2&lt;5000,1,IF(D2&lt;15000,2,IF(D2&lt;30000,3,4)))</f>
        <v>3</v>
      </c>
      <c r="I2" s="7" t="str">
        <f t="shared" ref="I2:I33" si="3">CONCATENATE(F2,G2,H2)</f>
        <v>443</v>
      </c>
      <c r="J2" s="8" t="str">
        <f t="shared" ref="J2:J33" si="4">IF(VALUE(I2)&gt;=434,"Champions",IF(VALUE(I2)&gt;=334,"Loyal",IF(VALUE(I2)&gt;=234,"Potential",IF(VALUE(I2)&gt;=134,"At Risk",IF(VALUE(I2)&gt;=112,"Churned","Lost")))))</f>
        <v>Champions</v>
      </c>
    </row>
    <row r="3" spans="1:10">
      <c r="A3" s="5">
        <f>'Raw Data'!A3</f>
        <v>2</v>
      </c>
      <c r="B3" s="3" t="str">
        <f>'Raw Data'!B3</f>
        <v>Priya Sharma</v>
      </c>
      <c r="C3" s="5">
        <f>'Raw Data'!E3</f>
        <v>3</v>
      </c>
      <c r="D3" s="4">
        <f>'Raw Data'!F3</f>
        <v>10200</v>
      </c>
      <c r="E3" s="5">
        <f>'Raw Data'!H3</f>
        <v>32</v>
      </c>
      <c r="F3" s="6">
        <f t="shared" si="0"/>
        <v>3</v>
      </c>
      <c r="G3" s="6">
        <f t="shared" si="1"/>
        <v>3</v>
      </c>
      <c r="H3" s="6">
        <f t="shared" si="2"/>
        <v>2</v>
      </c>
      <c r="I3" s="7" t="str">
        <f t="shared" si="3"/>
        <v>332</v>
      </c>
      <c r="J3" s="8" t="str">
        <f t="shared" si="4"/>
        <v>Potential</v>
      </c>
    </row>
    <row r="4" spans="1:10">
      <c r="A4" s="5">
        <f>'Raw Data'!A4</f>
        <v>3</v>
      </c>
      <c r="B4" s="3" t="str">
        <f>'Raw Data'!B4</f>
        <v>Amit Patel</v>
      </c>
      <c r="C4" s="5">
        <f>'Raw Data'!E4</f>
        <v>3</v>
      </c>
      <c r="D4" s="4">
        <f>'Raw Data'!F4</f>
        <v>11000</v>
      </c>
      <c r="E4" s="5">
        <f>'Raw Data'!H4</f>
        <v>11</v>
      </c>
      <c r="F4" s="6">
        <f t="shared" si="0"/>
        <v>4</v>
      </c>
      <c r="G4" s="6">
        <f t="shared" si="1"/>
        <v>3</v>
      </c>
      <c r="H4" s="6">
        <f t="shared" si="2"/>
        <v>2</v>
      </c>
      <c r="I4" s="7" t="str">
        <f t="shared" si="3"/>
        <v>432</v>
      </c>
      <c r="J4" s="8" t="str">
        <f t="shared" si="4"/>
        <v>Loyal</v>
      </c>
    </row>
    <row r="5" spans="1:10">
      <c r="A5" s="5">
        <f>'Raw Data'!A5</f>
        <v>4</v>
      </c>
      <c r="B5" s="3" t="str">
        <f>'Raw Data'!B5</f>
        <v>Sneha Gupta</v>
      </c>
      <c r="C5" s="5">
        <f>'Raw Data'!E5</f>
        <v>2</v>
      </c>
      <c r="D5" s="4">
        <f>'Raw Data'!F5</f>
        <v>4200</v>
      </c>
      <c r="E5" s="5">
        <f>'Raw Data'!H5</f>
        <v>562</v>
      </c>
      <c r="F5" s="6">
        <f t="shared" si="0"/>
        <v>1</v>
      </c>
      <c r="G5" s="6">
        <f t="shared" si="1"/>
        <v>2</v>
      </c>
      <c r="H5" s="6">
        <f t="shared" si="2"/>
        <v>1</v>
      </c>
      <c r="I5" s="7" t="str">
        <f t="shared" si="3"/>
        <v>121</v>
      </c>
      <c r="J5" s="8" t="str">
        <f t="shared" si="4"/>
        <v>Churned</v>
      </c>
    </row>
    <row r="6" spans="1:10">
      <c r="A6" s="5">
        <f>'Raw Data'!A6</f>
        <v>5</v>
      </c>
      <c r="B6" s="3" t="str">
        <f>'Raw Data'!B6</f>
        <v>Vikram Singh</v>
      </c>
      <c r="C6" s="5">
        <f>'Raw Data'!E6</f>
        <v>3</v>
      </c>
      <c r="D6" s="4">
        <f>'Raw Data'!F6</f>
        <v>9500</v>
      </c>
      <c r="E6" s="5">
        <f>'Raw Data'!H6</f>
        <v>57</v>
      </c>
      <c r="F6" s="6">
        <f t="shared" si="0"/>
        <v>3</v>
      </c>
      <c r="G6" s="6">
        <f t="shared" si="1"/>
        <v>3</v>
      </c>
      <c r="H6" s="6">
        <f t="shared" si="2"/>
        <v>2</v>
      </c>
      <c r="I6" s="7" t="str">
        <f t="shared" si="3"/>
        <v>332</v>
      </c>
      <c r="J6" s="8" t="str">
        <f t="shared" si="4"/>
        <v>Potential</v>
      </c>
    </row>
    <row r="7" spans="1:10">
      <c r="A7" s="5">
        <f>'Raw Data'!A7</f>
        <v>6</v>
      </c>
      <c r="B7" s="3" t="str">
        <f>'Raw Data'!B7</f>
        <v>Anjali Reddy</v>
      </c>
      <c r="C7" s="5">
        <f>'Raw Data'!E7</f>
        <v>4</v>
      </c>
      <c r="D7" s="4">
        <f>'Raw Data'!F7</f>
        <v>15600</v>
      </c>
      <c r="E7" s="5">
        <f>'Raw Data'!H7</f>
        <v>0</v>
      </c>
      <c r="F7" s="6">
        <f t="shared" si="0"/>
        <v>4</v>
      </c>
      <c r="G7" s="6">
        <f t="shared" si="1"/>
        <v>4</v>
      </c>
      <c r="H7" s="6">
        <f t="shared" si="2"/>
        <v>3</v>
      </c>
      <c r="I7" s="7" t="str">
        <f t="shared" si="3"/>
        <v>443</v>
      </c>
      <c r="J7" s="8" t="str">
        <f t="shared" si="4"/>
        <v>Champions</v>
      </c>
    </row>
    <row r="8" spans="1:10">
      <c r="A8" s="5">
        <f>'Raw Data'!A8</f>
        <v>7</v>
      </c>
      <c r="B8" s="3" t="str">
        <f>'Raw Data'!B8</f>
        <v>Rahul Chopra</v>
      </c>
      <c r="C8" s="5">
        <f>'Raw Data'!E8</f>
        <v>2</v>
      </c>
      <c r="D8" s="4">
        <f>'Raw Data'!F8</f>
        <v>3800</v>
      </c>
      <c r="E8" s="5">
        <f>'Raw Data'!H8</f>
        <v>193</v>
      </c>
      <c r="F8" s="6">
        <f t="shared" si="0"/>
        <v>1</v>
      </c>
      <c r="G8" s="6">
        <f t="shared" si="1"/>
        <v>2</v>
      </c>
      <c r="H8" s="6">
        <f t="shared" si="2"/>
        <v>1</v>
      </c>
      <c r="I8" s="7" t="str">
        <f t="shared" si="3"/>
        <v>121</v>
      </c>
      <c r="J8" s="8" t="str">
        <f t="shared" si="4"/>
        <v>Churned</v>
      </c>
    </row>
    <row r="9" spans="1:10">
      <c r="A9" s="5">
        <f>'Raw Data'!A9</f>
        <v>8</v>
      </c>
      <c r="B9" s="3" t="str">
        <f>'Raw Data'!B9</f>
        <v>Neha Iyer</v>
      </c>
      <c r="C9" s="5">
        <f>'Raw Data'!E9</f>
        <v>3</v>
      </c>
      <c r="D9" s="4">
        <f>'Raw Data'!F9</f>
        <v>12500</v>
      </c>
      <c r="E9" s="5">
        <f>'Raw Data'!H9</f>
        <v>25</v>
      </c>
      <c r="F9" s="6">
        <f t="shared" si="0"/>
        <v>4</v>
      </c>
      <c r="G9" s="6">
        <f t="shared" si="1"/>
        <v>3</v>
      </c>
      <c r="H9" s="6">
        <f t="shared" si="2"/>
        <v>2</v>
      </c>
      <c r="I9" s="7" t="str">
        <f t="shared" si="3"/>
        <v>432</v>
      </c>
      <c r="J9" s="8" t="str">
        <f t="shared" si="4"/>
        <v>Loyal</v>
      </c>
    </row>
    <row r="10" spans="1:10">
      <c r="A10" s="5">
        <f>'Raw Data'!A10</f>
        <v>9</v>
      </c>
      <c r="B10" s="3" t="str">
        <f>'Raw Data'!B10</f>
        <v>Arjun Nair</v>
      </c>
      <c r="C10" s="5">
        <f>'Raw Data'!E10</f>
        <v>4</v>
      </c>
      <c r="D10" s="4">
        <f>'Raw Data'!F10</f>
        <v>16800</v>
      </c>
      <c r="E10" s="5">
        <f>'Raw Data'!H10</f>
        <v>4</v>
      </c>
      <c r="F10" s="6">
        <f t="shared" si="0"/>
        <v>4</v>
      </c>
      <c r="G10" s="6">
        <f t="shared" si="1"/>
        <v>4</v>
      </c>
      <c r="H10" s="6">
        <f t="shared" si="2"/>
        <v>3</v>
      </c>
      <c r="I10" s="7" t="str">
        <f t="shared" si="3"/>
        <v>443</v>
      </c>
      <c r="J10" s="8" t="str">
        <f t="shared" si="4"/>
        <v>Champions</v>
      </c>
    </row>
    <row r="11" spans="1:10">
      <c r="A11" s="5">
        <f>'Raw Data'!A11</f>
        <v>10</v>
      </c>
      <c r="B11" s="3" t="str">
        <f>'Raw Data'!B11</f>
        <v>Divya Menon</v>
      </c>
      <c r="C11" s="5">
        <f>'Raw Data'!E11</f>
        <v>4</v>
      </c>
      <c r="D11" s="4">
        <f>'Raw Data'!F11</f>
        <v>14200</v>
      </c>
      <c r="E11" s="5">
        <f>'Raw Data'!H11</f>
        <v>29</v>
      </c>
      <c r="F11" s="6">
        <f t="shared" si="0"/>
        <v>4</v>
      </c>
      <c r="G11" s="6">
        <f t="shared" si="1"/>
        <v>4</v>
      </c>
      <c r="H11" s="6">
        <f t="shared" si="2"/>
        <v>2</v>
      </c>
      <c r="I11" s="7" t="str">
        <f t="shared" si="3"/>
        <v>442</v>
      </c>
      <c r="J11" s="8" t="str">
        <f t="shared" si="4"/>
        <v>Champions</v>
      </c>
    </row>
    <row r="12" spans="1:10">
      <c r="A12" s="5">
        <f>'Raw Data'!A12</f>
        <v>11</v>
      </c>
      <c r="B12" s="3" t="str">
        <f>'Raw Data'!B12</f>
        <v>Sanjay Verma</v>
      </c>
      <c r="C12" s="5">
        <f>'Raw Data'!E12</f>
        <v>3</v>
      </c>
      <c r="D12" s="4">
        <f>'Raw Data'!F12</f>
        <v>11500</v>
      </c>
      <c r="E12" s="5">
        <f>'Raw Data'!H12</f>
        <v>52</v>
      </c>
      <c r="F12" s="6">
        <f t="shared" si="0"/>
        <v>3</v>
      </c>
      <c r="G12" s="6">
        <f t="shared" si="1"/>
        <v>3</v>
      </c>
      <c r="H12" s="6">
        <f t="shared" si="2"/>
        <v>2</v>
      </c>
      <c r="I12" s="7" t="str">
        <f t="shared" si="3"/>
        <v>332</v>
      </c>
      <c r="J12" s="8" t="str">
        <f t="shared" si="4"/>
        <v>Potential</v>
      </c>
    </row>
    <row r="13" spans="1:10">
      <c r="A13" s="5">
        <f>'Raw Data'!A13</f>
        <v>12</v>
      </c>
      <c r="B13" s="3" t="str">
        <f>'Raw Data'!B13</f>
        <v>Kanika Bhat</v>
      </c>
      <c r="C13" s="5">
        <f>'Raw Data'!E13</f>
        <v>1</v>
      </c>
      <c r="D13" s="4">
        <f>'Raw Data'!F13</f>
        <v>2100</v>
      </c>
      <c r="E13" s="5">
        <f>'Raw Data'!H13</f>
        <v>614</v>
      </c>
      <c r="F13" s="6">
        <f t="shared" si="0"/>
        <v>1</v>
      </c>
      <c r="G13" s="6">
        <f t="shared" si="1"/>
        <v>1</v>
      </c>
      <c r="H13" s="6">
        <f t="shared" si="2"/>
        <v>1</v>
      </c>
      <c r="I13" s="7" t="str">
        <f t="shared" si="3"/>
        <v>111</v>
      </c>
      <c r="J13" s="8" t="str">
        <f t="shared" si="4"/>
        <v>Lost</v>
      </c>
    </row>
    <row r="14" spans="1:10">
      <c r="A14" s="5">
        <f>'Raw Data'!A14</f>
        <v>13</v>
      </c>
      <c r="B14" s="3" t="str">
        <f>'Raw Data'!B14</f>
        <v>Manish Rao</v>
      </c>
      <c r="C14" s="5">
        <f>'Raw Data'!E14</f>
        <v>3</v>
      </c>
      <c r="D14" s="4">
        <f>'Raw Data'!F14</f>
        <v>9800</v>
      </c>
      <c r="E14" s="5">
        <f>'Raw Data'!H14</f>
        <v>27</v>
      </c>
      <c r="F14" s="6">
        <f t="shared" si="0"/>
        <v>4</v>
      </c>
      <c r="G14" s="6">
        <f t="shared" si="1"/>
        <v>3</v>
      </c>
      <c r="H14" s="6">
        <f t="shared" si="2"/>
        <v>2</v>
      </c>
      <c r="I14" s="7" t="str">
        <f t="shared" si="3"/>
        <v>432</v>
      </c>
      <c r="J14" s="8" t="str">
        <f t="shared" si="4"/>
        <v>Loyal</v>
      </c>
    </row>
    <row r="15" spans="1:10">
      <c r="A15" s="5">
        <f>'Raw Data'!A15</f>
        <v>14</v>
      </c>
      <c r="B15" s="3" t="str">
        <f>'Raw Data'!B15</f>
        <v>Pooja Joshi</v>
      </c>
      <c r="C15" s="5">
        <f>'Raw Data'!E15</f>
        <v>4</v>
      </c>
      <c r="D15" s="4">
        <f>'Raw Data'!F15</f>
        <v>13500</v>
      </c>
      <c r="E15" s="5">
        <f>'Raw Data'!H15</f>
        <v>8</v>
      </c>
      <c r="F15" s="6">
        <f t="shared" si="0"/>
        <v>4</v>
      </c>
      <c r="G15" s="6">
        <f t="shared" si="1"/>
        <v>4</v>
      </c>
      <c r="H15" s="6">
        <f t="shared" si="2"/>
        <v>2</v>
      </c>
      <c r="I15" s="7" t="str">
        <f t="shared" si="3"/>
        <v>442</v>
      </c>
      <c r="J15" s="8" t="str">
        <f t="shared" si="4"/>
        <v>Champions</v>
      </c>
    </row>
    <row r="16" spans="1:10">
      <c r="A16" s="5">
        <f>'Raw Data'!A16</f>
        <v>15</v>
      </c>
      <c r="B16" s="3" t="str">
        <f>'Raw Data'!B16</f>
        <v>Rohan Desai</v>
      </c>
      <c r="C16" s="5">
        <f>'Raw Data'!E16</f>
        <v>3</v>
      </c>
      <c r="D16" s="4">
        <f>'Raw Data'!F16</f>
        <v>16200</v>
      </c>
      <c r="E16" s="5">
        <f>'Raw Data'!H16</f>
        <v>22</v>
      </c>
      <c r="F16" s="6">
        <f t="shared" si="0"/>
        <v>4</v>
      </c>
      <c r="G16" s="6">
        <f t="shared" si="1"/>
        <v>3</v>
      </c>
      <c r="H16" s="6">
        <f t="shared" si="2"/>
        <v>3</v>
      </c>
      <c r="I16" s="7" t="str">
        <f t="shared" si="3"/>
        <v>433</v>
      </c>
      <c r="J16" s="8" t="str">
        <f t="shared" si="4"/>
        <v>Loyal</v>
      </c>
    </row>
    <row r="17" spans="1:10">
      <c r="A17" s="5">
        <f>'Raw Data'!A17</f>
        <v>16</v>
      </c>
      <c r="B17" s="3" t="str">
        <f>'Raw Data'!B17</f>
        <v>Isha Khan</v>
      </c>
      <c r="C17" s="5">
        <f>'Raw Data'!E17</f>
        <v>2</v>
      </c>
      <c r="D17" s="4">
        <f>'Raw Data'!F17</f>
        <v>5200</v>
      </c>
      <c r="E17" s="5">
        <f>'Raw Data'!H17</f>
        <v>161</v>
      </c>
      <c r="F17" s="6">
        <f t="shared" si="0"/>
        <v>2</v>
      </c>
      <c r="G17" s="6">
        <f t="shared" si="1"/>
        <v>2</v>
      </c>
      <c r="H17" s="6">
        <f t="shared" si="2"/>
        <v>2</v>
      </c>
      <c r="I17" s="7" t="str">
        <f t="shared" si="3"/>
        <v>222</v>
      </c>
      <c r="J17" s="8" t="str">
        <f t="shared" si="4"/>
        <v>At Risk</v>
      </c>
    </row>
    <row r="18" spans="1:10">
      <c r="A18" s="5">
        <f>'Raw Data'!A18</f>
        <v>17</v>
      </c>
      <c r="B18" s="3" t="str">
        <f>'Raw Data'!B18</f>
        <v>Nikhil Das</v>
      </c>
      <c r="C18" s="5">
        <f>'Raw Data'!E18</f>
        <v>2</v>
      </c>
      <c r="D18" s="4">
        <f>'Raw Data'!F18</f>
        <v>7500</v>
      </c>
      <c r="E18" s="5">
        <f>'Raw Data'!H18</f>
        <v>67</v>
      </c>
      <c r="F18" s="6">
        <f t="shared" si="0"/>
        <v>3</v>
      </c>
      <c r="G18" s="6">
        <f t="shared" si="1"/>
        <v>2</v>
      </c>
      <c r="H18" s="6">
        <f t="shared" si="2"/>
        <v>2</v>
      </c>
      <c r="I18" s="7" t="str">
        <f t="shared" si="3"/>
        <v>322</v>
      </c>
      <c r="J18" s="8" t="str">
        <f t="shared" si="4"/>
        <v>Potential</v>
      </c>
    </row>
    <row r="19" spans="1:10">
      <c r="A19" s="5">
        <f>'Raw Data'!A19</f>
        <v>18</v>
      </c>
      <c r="B19" s="3" t="str">
        <f>'Raw Data'!B19</f>
        <v>Swati Roy</v>
      </c>
      <c r="C19" s="5">
        <f>'Raw Data'!E19</f>
        <v>3</v>
      </c>
      <c r="D19" s="4">
        <f>'Raw Data'!F19</f>
        <v>13200</v>
      </c>
      <c r="E19" s="5">
        <f>'Raw Data'!H19</f>
        <v>15</v>
      </c>
      <c r="F19" s="6">
        <f t="shared" si="0"/>
        <v>4</v>
      </c>
      <c r="G19" s="6">
        <f t="shared" si="1"/>
        <v>3</v>
      </c>
      <c r="H19" s="6">
        <f t="shared" si="2"/>
        <v>2</v>
      </c>
      <c r="I19" s="7" t="str">
        <f t="shared" si="3"/>
        <v>432</v>
      </c>
      <c r="J19" s="8" t="str">
        <f t="shared" si="4"/>
        <v>Loyal</v>
      </c>
    </row>
    <row r="20" spans="1:10">
      <c r="A20" s="5">
        <f>'Raw Data'!A20</f>
        <v>19</v>
      </c>
      <c r="B20" s="3" t="str">
        <f>'Raw Data'!B20</f>
        <v>Arun Kumar</v>
      </c>
      <c r="C20" s="5">
        <f>'Raw Data'!E20</f>
        <v>4</v>
      </c>
      <c r="D20" s="4">
        <f>'Raw Data'!F20</f>
        <v>15500</v>
      </c>
      <c r="E20" s="5">
        <f>'Raw Data'!H20</f>
        <v>19</v>
      </c>
      <c r="F20" s="6">
        <f t="shared" si="0"/>
        <v>4</v>
      </c>
      <c r="G20" s="6">
        <f t="shared" si="1"/>
        <v>4</v>
      </c>
      <c r="H20" s="6">
        <f t="shared" si="2"/>
        <v>3</v>
      </c>
      <c r="I20" s="7" t="str">
        <f t="shared" si="3"/>
        <v>443</v>
      </c>
      <c r="J20" s="8" t="str">
        <f t="shared" si="4"/>
        <v>Champions</v>
      </c>
    </row>
    <row r="21" spans="1:10">
      <c r="A21" s="5">
        <f>'Raw Data'!A21</f>
        <v>20</v>
      </c>
      <c r="B21" s="3" t="str">
        <f>'Raw Data'!B21</f>
        <v>Madhavi Singh</v>
      </c>
      <c r="C21" s="5">
        <f>'Raw Data'!E21</f>
        <v>3</v>
      </c>
      <c r="D21" s="4">
        <f>'Raw Data'!F21</f>
        <v>10800</v>
      </c>
      <c r="E21" s="5">
        <f>'Raw Data'!H21</f>
        <v>1</v>
      </c>
      <c r="F21" s="6">
        <f t="shared" si="0"/>
        <v>4</v>
      </c>
      <c r="G21" s="6">
        <f t="shared" si="1"/>
        <v>3</v>
      </c>
      <c r="H21" s="6">
        <f t="shared" si="2"/>
        <v>2</v>
      </c>
      <c r="I21" s="7" t="str">
        <f t="shared" si="3"/>
        <v>432</v>
      </c>
      <c r="J21" s="8" t="str">
        <f t="shared" si="4"/>
        <v>Loyal</v>
      </c>
    </row>
    <row r="22" spans="1:10">
      <c r="A22" s="5">
        <f>'Raw Data'!A22</f>
        <v>21</v>
      </c>
      <c r="B22" s="3" t="str">
        <f>'Raw Data'!B22</f>
        <v>Customer 21</v>
      </c>
      <c r="C22" s="5">
        <f>'Raw Data'!E22</f>
        <v>2</v>
      </c>
      <c r="D22" s="4">
        <f>'Raw Data'!F22</f>
        <v>3780</v>
      </c>
      <c r="E22" s="5">
        <f>'Raw Data'!H22</f>
        <v>41</v>
      </c>
      <c r="F22" s="6">
        <f t="shared" si="0"/>
        <v>3</v>
      </c>
      <c r="G22" s="6">
        <f t="shared" si="1"/>
        <v>2</v>
      </c>
      <c r="H22" s="6">
        <f t="shared" si="2"/>
        <v>1</v>
      </c>
      <c r="I22" s="7" t="str">
        <f t="shared" si="3"/>
        <v>321</v>
      </c>
      <c r="J22" s="8" t="str">
        <f t="shared" si="4"/>
        <v>Potential</v>
      </c>
    </row>
    <row r="23" spans="1:10">
      <c r="A23" s="5">
        <f>'Raw Data'!A23</f>
        <v>22</v>
      </c>
      <c r="B23" s="3" t="str">
        <f>'Raw Data'!B23</f>
        <v>Customer 22</v>
      </c>
      <c r="C23" s="5">
        <f>'Raw Data'!E23</f>
        <v>3</v>
      </c>
      <c r="D23" s="4">
        <f>'Raw Data'!F23</f>
        <v>3860</v>
      </c>
      <c r="E23" s="5">
        <f>'Raw Data'!H23</f>
        <v>42</v>
      </c>
      <c r="F23" s="6">
        <f t="shared" si="0"/>
        <v>3</v>
      </c>
      <c r="G23" s="6">
        <f t="shared" si="1"/>
        <v>3</v>
      </c>
      <c r="H23" s="6">
        <f t="shared" si="2"/>
        <v>1</v>
      </c>
      <c r="I23" s="7" t="str">
        <f t="shared" si="3"/>
        <v>331</v>
      </c>
      <c r="J23" s="8" t="str">
        <f t="shared" si="4"/>
        <v>Potential</v>
      </c>
    </row>
    <row r="24" spans="1:10">
      <c r="A24" s="5">
        <f>'Raw Data'!A24</f>
        <v>23</v>
      </c>
      <c r="B24" s="3" t="str">
        <f>'Raw Data'!B24</f>
        <v>Customer 23</v>
      </c>
      <c r="C24" s="5">
        <f>'Raw Data'!E24</f>
        <v>4</v>
      </c>
      <c r="D24" s="4">
        <f>'Raw Data'!F24</f>
        <v>3940</v>
      </c>
      <c r="E24" s="5">
        <f>'Raw Data'!H24</f>
        <v>43</v>
      </c>
      <c r="F24" s="6">
        <f t="shared" si="0"/>
        <v>3</v>
      </c>
      <c r="G24" s="6">
        <f t="shared" si="1"/>
        <v>4</v>
      </c>
      <c r="H24" s="6">
        <f t="shared" si="2"/>
        <v>1</v>
      </c>
      <c r="I24" s="7" t="str">
        <f t="shared" si="3"/>
        <v>341</v>
      </c>
      <c r="J24" s="8" t="str">
        <f t="shared" si="4"/>
        <v>Loyal</v>
      </c>
    </row>
    <row r="25" spans="1:10">
      <c r="A25" s="5">
        <f>'Raw Data'!A25</f>
        <v>24</v>
      </c>
      <c r="B25" s="3" t="str">
        <f>'Raw Data'!B25</f>
        <v>Customer 24</v>
      </c>
      <c r="C25" s="5">
        <f>'Raw Data'!E25</f>
        <v>1</v>
      </c>
      <c r="D25" s="4">
        <f>'Raw Data'!F25</f>
        <v>4020</v>
      </c>
      <c r="E25" s="5">
        <f>'Raw Data'!H25</f>
        <v>44</v>
      </c>
      <c r="F25" s="6">
        <f t="shared" si="0"/>
        <v>3</v>
      </c>
      <c r="G25" s="6">
        <f t="shared" si="1"/>
        <v>1</v>
      </c>
      <c r="H25" s="6">
        <f t="shared" si="2"/>
        <v>1</v>
      </c>
      <c r="I25" s="7" t="str">
        <f t="shared" si="3"/>
        <v>311</v>
      </c>
      <c r="J25" s="8" t="str">
        <f t="shared" si="4"/>
        <v>Potential</v>
      </c>
    </row>
    <row r="26" spans="1:10">
      <c r="A26" s="5">
        <f>'Raw Data'!A26</f>
        <v>25</v>
      </c>
      <c r="B26" s="3" t="str">
        <f>'Raw Data'!B26</f>
        <v>Customer 25</v>
      </c>
      <c r="C26" s="5">
        <f>'Raw Data'!E26</f>
        <v>2</v>
      </c>
      <c r="D26" s="4">
        <f>'Raw Data'!F26</f>
        <v>4100</v>
      </c>
      <c r="E26" s="5">
        <f>'Raw Data'!H26</f>
        <v>45</v>
      </c>
      <c r="F26" s="6">
        <f t="shared" si="0"/>
        <v>3</v>
      </c>
      <c r="G26" s="6">
        <f t="shared" si="1"/>
        <v>2</v>
      </c>
      <c r="H26" s="6">
        <f t="shared" si="2"/>
        <v>1</v>
      </c>
      <c r="I26" s="7" t="str">
        <f t="shared" si="3"/>
        <v>321</v>
      </c>
      <c r="J26" s="8" t="str">
        <f t="shared" si="4"/>
        <v>Potential</v>
      </c>
    </row>
    <row r="27" spans="1:10">
      <c r="A27" s="5">
        <f>'Raw Data'!A27</f>
        <v>26</v>
      </c>
      <c r="B27" s="3" t="str">
        <f>'Raw Data'!B27</f>
        <v>Customer 26</v>
      </c>
      <c r="C27" s="5">
        <f>'Raw Data'!E27</f>
        <v>3</v>
      </c>
      <c r="D27" s="4">
        <f>'Raw Data'!F27</f>
        <v>4180</v>
      </c>
      <c r="E27" s="5">
        <f>'Raw Data'!H27</f>
        <v>46</v>
      </c>
      <c r="F27" s="6">
        <f t="shared" si="0"/>
        <v>3</v>
      </c>
      <c r="G27" s="6">
        <f t="shared" si="1"/>
        <v>3</v>
      </c>
      <c r="H27" s="6">
        <f t="shared" si="2"/>
        <v>1</v>
      </c>
      <c r="I27" s="7" t="str">
        <f t="shared" si="3"/>
        <v>331</v>
      </c>
      <c r="J27" s="8" t="str">
        <f t="shared" si="4"/>
        <v>Potential</v>
      </c>
    </row>
    <row r="28" spans="1:10">
      <c r="A28" s="5">
        <f>'Raw Data'!A28</f>
        <v>27</v>
      </c>
      <c r="B28" s="3" t="str">
        <f>'Raw Data'!B28</f>
        <v>Customer 27</v>
      </c>
      <c r="C28" s="5">
        <f>'Raw Data'!E28</f>
        <v>4</v>
      </c>
      <c r="D28" s="4">
        <f>'Raw Data'!F28</f>
        <v>4260</v>
      </c>
      <c r="E28" s="5">
        <f>'Raw Data'!H28</f>
        <v>47</v>
      </c>
      <c r="F28" s="6">
        <f t="shared" si="0"/>
        <v>3</v>
      </c>
      <c r="G28" s="6">
        <f t="shared" si="1"/>
        <v>4</v>
      </c>
      <c r="H28" s="6">
        <f t="shared" si="2"/>
        <v>1</v>
      </c>
      <c r="I28" s="7" t="str">
        <f t="shared" si="3"/>
        <v>341</v>
      </c>
      <c r="J28" s="8" t="str">
        <f t="shared" si="4"/>
        <v>Loyal</v>
      </c>
    </row>
    <row r="29" spans="1:10">
      <c r="A29" s="5">
        <f>'Raw Data'!A29</f>
        <v>28</v>
      </c>
      <c r="B29" s="3" t="str">
        <f>'Raw Data'!B29</f>
        <v>Customer 28</v>
      </c>
      <c r="C29" s="5">
        <f>'Raw Data'!E29</f>
        <v>1</v>
      </c>
      <c r="D29" s="4">
        <f>'Raw Data'!F29</f>
        <v>4340</v>
      </c>
      <c r="E29" s="5">
        <f>'Raw Data'!H29</f>
        <v>48</v>
      </c>
      <c r="F29" s="6">
        <f t="shared" si="0"/>
        <v>3</v>
      </c>
      <c r="G29" s="6">
        <f t="shared" si="1"/>
        <v>1</v>
      </c>
      <c r="H29" s="6">
        <f t="shared" si="2"/>
        <v>1</v>
      </c>
      <c r="I29" s="7" t="str">
        <f t="shared" si="3"/>
        <v>311</v>
      </c>
      <c r="J29" s="8" t="str">
        <f t="shared" si="4"/>
        <v>Potential</v>
      </c>
    </row>
    <row r="30" spans="1:10">
      <c r="A30" s="5">
        <f>'Raw Data'!A30</f>
        <v>29</v>
      </c>
      <c r="B30" s="3" t="str">
        <f>'Raw Data'!B30</f>
        <v>Customer 29</v>
      </c>
      <c r="C30" s="5">
        <f>'Raw Data'!E30</f>
        <v>2</v>
      </c>
      <c r="D30" s="4">
        <f>'Raw Data'!F30</f>
        <v>4420</v>
      </c>
      <c r="E30" s="5">
        <f>'Raw Data'!H30</f>
        <v>49</v>
      </c>
      <c r="F30" s="6">
        <f t="shared" si="0"/>
        <v>3</v>
      </c>
      <c r="G30" s="6">
        <f t="shared" si="1"/>
        <v>2</v>
      </c>
      <c r="H30" s="6">
        <f t="shared" si="2"/>
        <v>1</v>
      </c>
      <c r="I30" s="7" t="str">
        <f t="shared" si="3"/>
        <v>321</v>
      </c>
      <c r="J30" s="8" t="str">
        <f t="shared" si="4"/>
        <v>Potential</v>
      </c>
    </row>
    <row r="31" spans="1:10">
      <c r="A31" s="5">
        <f>'Raw Data'!A31</f>
        <v>30</v>
      </c>
      <c r="B31" s="3" t="str">
        <f>'Raw Data'!B31</f>
        <v>Customer 30</v>
      </c>
      <c r="C31" s="5">
        <f>'Raw Data'!E31</f>
        <v>3</v>
      </c>
      <c r="D31" s="4">
        <f>'Raw Data'!F31</f>
        <v>4500</v>
      </c>
      <c r="E31" s="5">
        <f>'Raw Data'!H31</f>
        <v>20</v>
      </c>
      <c r="F31" s="6">
        <f t="shared" si="0"/>
        <v>4</v>
      </c>
      <c r="G31" s="6">
        <f t="shared" si="1"/>
        <v>3</v>
      </c>
      <c r="H31" s="6">
        <f t="shared" si="2"/>
        <v>1</v>
      </c>
      <c r="I31" s="7" t="str">
        <f t="shared" si="3"/>
        <v>431</v>
      </c>
      <c r="J31" s="8" t="str">
        <f t="shared" si="4"/>
        <v>Loyal</v>
      </c>
    </row>
    <row r="32" spans="1:10">
      <c r="A32" s="5">
        <f>'Raw Data'!A32</f>
        <v>31</v>
      </c>
      <c r="B32" s="3" t="str">
        <f>'Raw Data'!B32</f>
        <v>Customer 31</v>
      </c>
      <c r="C32" s="5">
        <f>'Raw Data'!E32</f>
        <v>4</v>
      </c>
      <c r="D32" s="4">
        <f>'Raw Data'!F32</f>
        <v>4580</v>
      </c>
      <c r="E32" s="5">
        <f>'Raw Data'!H32</f>
        <v>21</v>
      </c>
      <c r="F32" s="6">
        <f t="shared" si="0"/>
        <v>4</v>
      </c>
      <c r="G32" s="6">
        <f t="shared" si="1"/>
        <v>4</v>
      </c>
      <c r="H32" s="6">
        <f t="shared" si="2"/>
        <v>1</v>
      </c>
      <c r="I32" s="7" t="str">
        <f t="shared" si="3"/>
        <v>441</v>
      </c>
      <c r="J32" s="8" t="str">
        <f t="shared" si="4"/>
        <v>Champions</v>
      </c>
    </row>
    <row r="33" spans="1:10">
      <c r="A33" s="5">
        <f>'Raw Data'!A33</f>
        <v>32</v>
      </c>
      <c r="B33" s="3" t="str">
        <f>'Raw Data'!B33</f>
        <v>Customer 32</v>
      </c>
      <c r="C33" s="5">
        <f>'Raw Data'!E33</f>
        <v>1</v>
      </c>
      <c r="D33" s="4">
        <f>'Raw Data'!F33</f>
        <v>4660</v>
      </c>
      <c r="E33" s="5">
        <f>'Raw Data'!H33</f>
        <v>22</v>
      </c>
      <c r="F33" s="6">
        <f t="shared" si="0"/>
        <v>4</v>
      </c>
      <c r="G33" s="6">
        <f t="shared" si="1"/>
        <v>1</v>
      </c>
      <c r="H33" s="6">
        <f t="shared" si="2"/>
        <v>1</v>
      </c>
      <c r="I33" s="7" t="str">
        <f t="shared" si="3"/>
        <v>411</v>
      </c>
      <c r="J33" s="8" t="str">
        <f t="shared" si="4"/>
        <v>Loyal</v>
      </c>
    </row>
    <row r="34" spans="1:10">
      <c r="A34" s="5">
        <f>'Raw Data'!A34</f>
        <v>33</v>
      </c>
      <c r="B34" s="3" t="str">
        <f>'Raw Data'!B34</f>
        <v>Customer 33</v>
      </c>
      <c r="C34" s="5">
        <f>'Raw Data'!E34</f>
        <v>2</v>
      </c>
      <c r="D34" s="4">
        <f>'Raw Data'!F34</f>
        <v>4740</v>
      </c>
      <c r="E34" s="5">
        <f>'Raw Data'!H34</f>
        <v>23</v>
      </c>
      <c r="F34" s="6">
        <f t="shared" ref="F34:F65" si="5">IF(E34&lt;=30,4,IF(E34&lt;=90,3,IF(E34&lt;=180,2,1)))</f>
        <v>4</v>
      </c>
      <c r="G34" s="6">
        <f t="shared" ref="G34:G65" si="6">IF(C34=1,1,IF(C34=2,2,IF(C34=3,3,4)))</f>
        <v>2</v>
      </c>
      <c r="H34" s="6">
        <f t="shared" ref="H34:H65" si="7">IF(D34&lt;5000,1,IF(D34&lt;15000,2,IF(D34&lt;30000,3,4)))</f>
        <v>1</v>
      </c>
      <c r="I34" s="7" t="str">
        <f t="shared" ref="I34:I65" si="8">CONCATENATE(F34,G34,H34)</f>
        <v>421</v>
      </c>
      <c r="J34" s="8" t="str">
        <f t="shared" ref="J34:J65" si="9">IF(VALUE(I34)&gt;=434,"Champions",IF(VALUE(I34)&gt;=334,"Loyal",IF(VALUE(I34)&gt;=234,"Potential",IF(VALUE(I34)&gt;=134,"At Risk",IF(VALUE(I34)&gt;=112,"Churned","Lost")))))</f>
        <v>Loyal</v>
      </c>
    </row>
    <row r="35" spans="1:10">
      <c r="A35" s="5">
        <f>'Raw Data'!A35</f>
        <v>34</v>
      </c>
      <c r="B35" s="3" t="str">
        <f>'Raw Data'!B35</f>
        <v>Customer 34</v>
      </c>
      <c r="C35" s="5">
        <f>'Raw Data'!E35</f>
        <v>3</v>
      </c>
      <c r="D35" s="4">
        <f>'Raw Data'!F35</f>
        <v>4820</v>
      </c>
      <c r="E35" s="5">
        <f>'Raw Data'!H35</f>
        <v>24</v>
      </c>
      <c r="F35" s="6">
        <f t="shared" si="5"/>
        <v>4</v>
      </c>
      <c r="G35" s="6">
        <f t="shared" si="6"/>
        <v>3</v>
      </c>
      <c r="H35" s="6">
        <f t="shared" si="7"/>
        <v>1</v>
      </c>
      <c r="I35" s="7" t="str">
        <f t="shared" si="8"/>
        <v>431</v>
      </c>
      <c r="J35" s="8" t="str">
        <f t="shared" si="9"/>
        <v>Loyal</v>
      </c>
    </row>
    <row r="36" spans="1:10">
      <c r="A36" s="5">
        <f>'Raw Data'!A36</f>
        <v>35</v>
      </c>
      <c r="B36" s="3" t="str">
        <f>'Raw Data'!B36</f>
        <v>Customer 35</v>
      </c>
      <c r="C36" s="5">
        <f>'Raw Data'!E36</f>
        <v>4</v>
      </c>
      <c r="D36" s="4">
        <f>'Raw Data'!F36</f>
        <v>4900</v>
      </c>
      <c r="E36" s="5">
        <f>'Raw Data'!H36</f>
        <v>25</v>
      </c>
      <c r="F36" s="6">
        <f t="shared" si="5"/>
        <v>4</v>
      </c>
      <c r="G36" s="6">
        <f t="shared" si="6"/>
        <v>4</v>
      </c>
      <c r="H36" s="6">
        <f t="shared" si="7"/>
        <v>1</v>
      </c>
      <c r="I36" s="7" t="str">
        <f t="shared" si="8"/>
        <v>441</v>
      </c>
      <c r="J36" s="8" t="str">
        <f t="shared" si="9"/>
        <v>Champions</v>
      </c>
    </row>
    <row r="37" spans="1:10">
      <c r="A37" s="5">
        <f>'Raw Data'!A37</f>
        <v>36</v>
      </c>
      <c r="B37" s="3" t="str">
        <f>'Raw Data'!B37</f>
        <v>Customer 36</v>
      </c>
      <c r="C37" s="5">
        <f>'Raw Data'!E37</f>
        <v>1</v>
      </c>
      <c r="D37" s="4">
        <f>'Raw Data'!F37</f>
        <v>4980</v>
      </c>
      <c r="E37" s="5">
        <f>'Raw Data'!H37</f>
        <v>26</v>
      </c>
      <c r="F37" s="6">
        <f t="shared" si="5"/>
        <v>4</v>
      </c>
      <c r="G37" s="6">
        <f t="shared" si="6"/>
        <v>1</v>
      </c>
      <c r="H37" s="6">
        <f t="shared" si="7"/>
        <v>1</v>
      </c>
      <c r="I37" s="7" t="str">
        <f t="shared" si="8"/>
        <v>411</v>
      </c>
      <c r="J37" s="8" t="str">
        <f t="shared" si="9"/>
        <v>Loyal</v>
      </c>
    </row>
    <row r="38" spans="1:10">
      <c r="A38" s="5">
        <f>'Raw Data'!A38</f>
        <v>37</v>
      </c>
      <c r="B38" s="3" t="str">
        <f>'Raw Data'!B38</f>
        <v>Customer 37</v>
      </c>
      <c r="C38" s="5">
        <f>'Raw Data'!E38</f>
        <v>2</v>
      </c>
      <c r="D38" s="4">
        <f>'Raw Data'!F38</f>
        <v>5060</v>
      </c>
      <c r="E38" s="5">
        <f>'Raw Data'!H38</f>
        <v>27</v>
      </c>
      <c r="F38" s="6">
        <f t="shared" si="5"/>
        <v>4</v>
      </c>
      <c r="G38" s="6">
        <f t="shared" si="6"/>
        <v>2</v>
      </c>
      <c r="H38" s="6">
        <f t="shared" si="7"/>
        <v>2</v>
      </c>
      <c r="I38" s="7" t="str">
        <f t="shared" si="8"/>
        <v>422</v>
      </c>
      <c r="J38" s="8" t="str">
        <f t="shared" si="9"/>
        <v>Loyal</v>
      </c>
    </row>
    <row r="39" spans="1:10">
      <c r="A39" s="5">
        <f>'Raw Data'!A39</f>
        <v>38</v>
      </c>
      <c r="B39" s="3" t="str">
        <f>'Raw Data'!B39</f>
        <v>Customer 38</v>
      </c>
      <c r="C39" s="5">
        <f>'Raw Data'!E39</f>
        <v>3</v>
      </c>
      <c r="D39" s="4">
        <f>'Raw Data'!F39</f>
        <v>5140</v>
      </c>
      <c r="E39" s="5">
        <f>'Raw Data'!H39</f>
        <v>28</v>
      </c>
      <c r="F39" s="6">
        <f t="shared" si="5"/>
        <v>4</v>
      </c>
      <c r="G39" s="6">
        <f t="shared" si="6"/>
        <v>3</v>
      </c>
      <c r="H39" s="6">
        <f t="shared" si="7"/>
        <v>2</v>
      </c>
      <c r="I39" s="7" t="str">
        <f t="shared" si="8"/>
        <v>432</v>
      </c>
      <c r="J39" s="8" t="str">
        <f t="shared" si="9"/>
        <v>Loyal</v>
      </c>
    </row>
    <row r="40" spans="1:10">
      <c r="A40" s="5">
        <f>'Raw Data'!A40</f>
        <v>39</v>
      </c>
      <c r="B40" s="3" t="str">
        <f>'Raw Data'!B40</f>
        <v>Customer 39</v>
      </c>
      <c r="C40" s="5">
        <f>'Raw Data'!E40</f>
        <v>4</v>
      </c>
      <c r="D40" s="4">
        <f>'Raw Data'!F40</f>
        <v>5220</v>
      </c>
      <c r="E40" s="5">
        <f>'Raw Data'!H40</f>
        <v>29</v>
      </c>
      <c r="F40" s="6">
        <f t="shared" si="5"/>
        <v>4</v>
      </c>
      <c r="G40" s="6">
        <f t="shared" si="6"/>
        <v>4</v>
      </c>
      <c r="H40" s="6">
        <f t="shared" si="7"/>
        <v>2</v>
      </c>
      <c r="I40" s="7" t="str">
        <f t="shared" si="8"/>
        <v>442</v>
      </c>
      <c r="J40" s="8" t="str">
        <f t="shared" si="9"/>
        <v>Champions</v>
      </c>
    </row>
    <row r="41" spans="1:10">
      <c r="A41" s="5">
        <f>'Raw Data'!A41</f>
        <v>40</v>
      </c>
      <c r="B41" s="3" t="str">
        <f>'Raw Data'!B41</f>
        <v>Customer 40</v>
      </c>
      <c r="C41" s="5">
        <f>'Raw Data'!E41</f>
        <v>1</v>
      </c>
      <c r="D41" s="4">
        <f>'Raw Data'!F41</f>
        <v>5300</v>
      </c>
      <c r="E41" s="5">
        <f>'Raw Data'!H41</f>
        <v>30</v>
      </c>
      <c r="F41" s="6">
        <f t="shared" si="5"/>
        <v>4</v>
      </c>
      <c r="G41" s="6">
        <f t="shared" si="6"/>
        <v>1</v>
      </c>
      <c r="H41" s="6">
        <f t="shared" si="7"/>
        <v>2</v>
      </c>
      <c r="I41" s="7" t="str">
        <f t="shared" si="8"/>
        <v>412</v>
      </c>
      <c r="J41" s="8" t="str">
        <f t="shared" si="9"/>
        <v>Loyal</v>
      </c>
    </row>
    <row r="42" spans="1:10">
      <c r="A42" s="5">
        <f>'Raw Data'!A42</f>
        <v>41</v>
      </c>
      <c r="B42" s="3" t="str">
        <f>'Raw Data'!B42</f>
        <v>Customer 41</v>
      </c>
      <c r="C42" s="5">
        <f>'Raw Data'!E42</f>
        <v>2</v>
      </c>
      <c r="D42" s="4">
        <f>'Raw Data'!F42</f>
        <v>5380</v>
      </c>
      <c r="E42" s="5">
        <f>'Raw Data'!H42</f>
        <v>31</v>
      </c>
      <c r="F42" s="6">
        <f t="shared" si="5"/>
        <v>3</v>
      </c>
      <c r="G42" s="6">
        <f t="shared" si="6"/>
        <v>2</v>
      </c>
      <c r="H42" s="6">
        <f t="shared" si="7"/>
        <v>2</v>
      </c>
      <c r="I42" s="7" t="str">
        <f t="shared" si="8"/>
        <v>322</v>
      </c>
      <c r="J42" s="8" t="str">
        <f t="shared" si="9"/>
        <v>Potential</v>
      </c>
    </row>
    <row r="43" spans="1:10">
      <c r="A43" s="5">
        <f>'Raw Data'!A43</f>
        <v>42</v>
      </c>
      <c r="B43" s="3" t="str">
        <f>'Raw Data'!B43</f>
        <v>Customer 42</v>
      </c>
      <c r="C43" s="5">
        <f>'Raw Data'!E43</f>
        <v>3</v>
      </c>
      <c r="D43" s="4">
        <f>'Raw Data'!F43</f>
        <v>5460</v>
      </c>
      <c r="E43" s="5">
        <f>'Raw Data'!H43</f>
        <v>32</v>
      </c>
      <c r="F43" s="6">
        <f t="shared" si="5"/>
        <v>3</v>
      </c>
      <c r="G43" s="6">
        <f t="shared" si="6"/>
        <v>3</v>
      </c>
      <c r="H43" s="6">
        <f t="shared" si="7"/>
        <v>2</v>
      </c>
      <c r="I43" s="7" t="str">
        <f t="shared" si="8"/>
        <v>332</v>
      </c>
      <c r="J43" s="8" t="str">
        <f t="shared" si="9"/>
        <v>Potential</v>
      </c>
    </row>
    <row r="44" spans="1:10">
      <c r="A44" s="5">
        <f>'Raw Data'!A44</f>
        <v>43</v>
      </c>
      <c r="B44" s="3" t="str">
        <f>'Raw Data'!B44</f>
        <v>Customer 43</v>
      </c>
      <c r="C44" s="5">
        <f>'Raw Data'!E44</f>
        <v>4</v>
      </c>
      <c r="D44" s="4">
        <f>'Raw Data'!F44</f>
        <v>5540</v>
      </c>
      <c r="E44" s="5">
        <f>'Raw Data'!H44</f>
        <v>33</v>
      </c>
      <c r="F44" s="6">
        <f t="shared" si="5"/>
        <v>3</v>
      </c>
      <c r="G44" s="6">
        <f t="shared" si="6"/>
        <v>4</v>
      </c>
      <c r="H44" s="6">
        <f t="shared" si="7"/>
        <v>2</v>
      </c>
      <c r="I44" s="7" t="str">
        <f t="shared" si="8"/>
        <v>342</v>
      </c>
      <c r="J44" s="8" t="str">
        <f t="shared" si="9"/>
        <v>Loyal</v>
      </c>
    </row>
    <row r="45" spans="1:10">
      <c r="A45" s="5">
        <f>'Raw Data'!A45</f>
        <v>44</v>
      </c>
      <c r="B45" s="3" t="str">
        <f>'Raw Data'!B45</f>
        <v>Customer 44</v>
      </c>
      <c r="C45" s="5">
        <f>'Raw Data'!E45</f>
        <v>1</v>
      </c>
      <c r="D45" s="4">
        <f>'Raw Data'!F45</f>
        <v>5620</v>
      </c>
      <c r="E45" s="5">
        <f>'Raw Data'!H45</f>
        <v>34</v>
      </c>
      <c r="F45" s="6">
        <f t="shared" si="5"/>
        <v>3</v>
      </c>
      <c r="G45" s="6">
        <f t="shared" si="6"/>
        <v>1</v>
      </c>
      <c r="H45" s="6">
        <f t="shared" si="7"/>
        <v>2</v>
      </c>
      <c r="I45" s="7" t="str">
        <f t="shared" si="8"/>
        <v>312</v>
      </c>
      <c r="J45" s="8" t="str">
        <f t="shared" si="9"/>
        <v>Potential</v>
      </c>
    </row>
    <row r="46" spans="1:10">
      <c r="A46" s="5">
        <f>'Raw Data'!A46</f>
        <v>45</v>
      </c>
      <c r="B46" s="3" t="str">
        <f>'Raw Data'!B46</f>
        <v>Customer 45</v>
      </c>
      <c r="C46" s="5">
        <f>'Raw Data'!E46</f>
        <v>2</v>
      </c>
      <c r="D46" s="4">
        <f>'Raw Data'!F46</f>
        <v>5700</v>
      </c>
      <c r="E46" s="5">
        <f>'Raw Data'!H46</f>
        <v>35</v>
      </c>
      <c r="F46" s="6">
        <f t="shared" si="5"/>
        <v>3</v>
      </c>
      <c r="G46" s="6">
        <f t="shared" si="6"/>
        <v>2</v>
      </c>
      <c r="H46" s="6">
        <f t="shared" si="7"/>
        <v>2</v>
      </c>
      <c r="I46" s="7" t="str">
        <f t="shared" si="8"/>
        <v>322</v>
      </c>
      <c r="J46" s="8" t="str">
        <f t="shared" si="9"/>
        <v>Potential</v>
      </c>
    </row>
    <row r="47" spans="1:10">
      <c r="A47" s="5">
        <f>'Raw Data'!A47</f>
        <v>46</v>
      </c>
      <c r="B47" s="3" t="str">
        <f>'Raw Data'!B47</f>
        <v>Customer 46</v>
      </c>
      <c r="C47" s="5">
        <f>'Raw Data'!E47</f>
        <v>3</v>
      </c>
      <c r="D47" s="4">
        <f>'Raw Data'!F47</f>
        <v>5780</v>
      </c>
      <c r="E47" s="5">
        <f>'Raw Data'!H47</f>
        <v>36</v>
      </c>
      <c r="F47" s="6">
        <f t="shared" si="5"/>
        <v>3</v>
      </c>
      <c r="G47" s="6">
        <f t="shared" si="6"/>
        <v>3</v>
      </c>
      <c r="H47" s="6">
        <f t="shared" si="7"/>
        <v>2</v>
      </c>
      <c r="I47" s="7" t="str">
        <f t="shared" si="8"/>
        <v>332</v>
      </c>
      <c r="J47" s="8" t="str">
        <f t="shared" si="9"/>
        <v>Potential</v>
      </c>
    </row>
    <row r="48" spans="1:10">
      <c r="A48" s="5">
        <f>'Raw Data'!A48</f>
        <v>47</v>
      </c>
      <c r="B48" s="3" t="str">
        <f>'Raw Data'!B48</f>
        <v>Customer 47</v>
      </c>
      <c r="C48" s="5">
        <f>'Raw Data'!E48</f>
        <v>4</v>
      </c>
      <c r="D48" s="4">
        <f>'Raw Data'!F48</f>
        <v>5860</v>
      </c>
      <c r="E48" s="5">
        <f>'Raw Data'!H48</f>
        <v>37</v>
      </c>
      <c r="F48" s="6">
        <f t="shared" si="5"/>
        <v>3</v>
      </c>
      <c r="G48" s="6">
        <f t="shared" si="6"/>
        <v>4</v>
      </c>
      <c r="H48" s="6">
        <f t="shared" si="7"/>
        <v>2</v>
      </c>
      <c r="I48" s="7" t="str">
        <f t="shared" si="8"/>
        <v>342</v>
      </c>
      <c r="J48" s="8" t="str">
        <f t="shared" si="9"/>
        <v>Loyal</v>
      </c>
    </row>
    <row r="49" spans="1:10">
      <c r="A49" s="5">
        <f>'Raw Data'!A49</f>
        <v>48</v>
      </c>
      <c r="B49" s="3" t="str">
        <f>'Raw Data'!B49</f>
        <v>Customer 48</v>
      </c>
      <c r="C49" s="5">
        <f>'Raw Data'!E49</f>
        <v>1</v>
      </c>
      <c r="D49" s="4">
        <f>'Raw Data'!F49</f>
        <v>5940</v>
      </c>
      <c r="E49" s="5">
        <f>'Raw Data'!H49</f>
        <v>38</v>
      </c>
      <c r="F49" s="6">
        <f t="shared" si="5"/>
        <v>3</v>
      </c>
      <c r="G49" s="6">
        <f t="shared" si="6"/>
        <v>1</v>
      </c>
      <c r="H49" s="6">
        <f t="shared" si="7"/>
        <v>2</v>
      </c>
      <c r="I49" s="7" t="str">
        <f t="shared" si="8"/>
        <v>312</v>
      </c>
      <c r="J49" s="8" t="str">
        <f t="shared" si="9"/>
        <v>Potential</v>
      </c>
    </row>
    <row r="50" spans="1:10">
      <c r="A50" s="5">
        <f>'Raw Data'!A50</f>
        <v>49</v>
      </c>
      <c r="B50" s="3" t="str">
        <f>'Raw Data'!B50</f>
        <v>Customer 49</v>
      </c>
      <c r="C50" s="5">
        <f>'Raw Data'!E50</f>
        <v>2</v>
      </c>
      <c r="D50" s="4">
        <f>'Raw Data'!F50</f>
        <v>6020</v>
      </c>
      <c r="E50" s="5">
        <f>'Raw Data'!H50</f>
        <v>39</v>
      </c>
      <c r="F50" s="6">
        <f t="shared" si="5"/>
        <v>3</v>
      </c>
      <c r="G50" s="6">
        <f t="shared" si="6"/>
        <v>2</v>
      </c>
      <c r="H50" s="6">
        <f t="shared" si="7"/>
        <v>2</v>
      </c>
      <c r="I50" s="7" t="str">
        <f t="shared" si="8"/>
        <v>322</v>
      </c>
      <c r="J50" s="8" t="str">
        <f t="shared" si="9"/>
        <v>Potential</v>
      </c>
    </row>
    <row r="51" spans="1:10">
      <c r="A51" s="5">
        <f>'Raw Data'!A51</f>
        <v>50</v>
      </c>
      <c r="B51" s="3" t="str">
        <f>'Raw Data'!B51</f>
        <v>Customer 50</v>
      </c>
      <c r="C51" s="5">
        <f>'Raw Data'!E51</f>
        <v>3</v>
      </c>
      <c r="D51" s="4">
        <f>'Raw Data'!F51</f>
        <v>6100</v>
      </c>
      <c r="E51" s="5">
        <f>'Raw Data'!H51</f>
        <v>40</v>
      </c>
      <c r="F51" s="6">
        <f t="shared" si="5"/>
        <v>3</v>
      </c>
      <c r="G51" s="6">
        <f t="shared" si="6"/>
        <v>3</v>
      </c>
      <c r="H51" s="6">
        <f t="shared" si="7"/>
        <v>2</v>
      </c>
      <c r="I51" s="7" t="str">
        <f t="shared" si="8"/>
        <v>332</v>
      </c>
      <c r="J51" s="8" t="str">
        <f t="shared" si="9"/>
        <v>Potential</v>
      </c>
    </row>
    <row r="52" spans="1:10">
      <c r="A52" s="5">
        <f>'Raw Data'!A52</f>
        <v>51</v>
      </c>
      <c r="B52" s="3" t="str">
        <f>'Raw Data'!B52</f>
        <v>Customer 51</v>
      </c>
      <c r="C52" s="5">
        <f>'Raw Data'!E52</f>
        <v>4</v>
      </c>
      <c r="D52" s="4">
        <f>'Raw Data'!F52</f>
        <v>6180</v>
      </c>
      <c r="E52" s="5">
        <f>'Raw Data'!H52</f>
        <v>41</v>
      </c>
      <c r="F52" s="6">
        <f t="shared" si="5"/>
        <v>3</v>
      </c>
      <c r="G52" s="6">
        <f t="shared" si="6"/>
        <v>4</v>
      </c>
      <c r="H52" s="6">
        <f t="shared" si="7"/>
        <v>2</v>
      </c>
      <c r="I52" s="7" t="str">
        <f t="shared" si="8"/>
        <v>342</v>
      </c>
      <c r="J52" s="8" t="str">
        <f t="shared" si="9"/>
        <v>Loyal</v>
      </c>
    </row>
    <row r="53" spans="1:10">
      <c r="A53" s="5">
        <f>'Raw Data'!A53</f>
        <v>52</v>
      </c>
      <c r="B53" s="3" t="str">
        <f>'Raw Data'!B53</f>
        <v>Customer 52</v>
      </c>
      <c r="C53" s="5">
        <f>'Raw Data'!E53</f>
        <v>1</v>
      </c>
      <c r="D53" s="4">
        <f>'Raw Data'!F53</f>
        <v>6260</v>
      </c>
      <c r="E53" s="5">
        <f>'Raw Data'!H53</f>
        <v>42</v>
      </c>
      <c r="F53" s="6">
        <f t="shared" si="5"/>
        <v>3</v>
      </c>
      <c r="G53" s="6">
        <f t="shared" si="6"/>
        <v>1</v>
      </c>
      <c r="H53" s="6">
        <f t="shared" si="7"/>
        <v>2</v>
      </c>
      <c r="I53" s="7" t="str">
        <f t="shared" si="8"/>
        <v>312</v>
      </c>
      <c r="J53" s="8" t="str">
        <f t="shared" si="9"/>
        <v>Potential</v>
      </c>
    </row>
    <row r="54" spans="1:10">
      <c r="A54" s="5">
        <f>'Raw Data'!A54</f>
        <v>53</v>
      </c>
      <c r="B54" s="3" t="str">
        <f>'Raw Data'!B54</f>
        <v>Customer 53</v>
      </c>
      <c r="C54" s="5">
        <f>'Raw Data'!E54</f>
        <v>2</v>
      </c>
      <c r="D54" s="4">
        <f>'Raw Data'!F54</f>
        <v>6340</v>
      </c>
      <c r="E54" s="5">
        <f>'Raw Data'!H54</f>
        <v>43</v>
      </c>
      <c r="F54" s="6">
        <f t="shared" si="5"/>
        <v>3</v>
      </c>
      <c r="G54" s="6">
        <f t="shared" si="6"/>
        <v>2</v>
      </c>
      <c r="H54" s="6">
        <f t="shared" si="7"/>
        <v>2</v>
      </c>
      <c r="I54" s="7" t="str">
        <f t="shared" si="8"/>
        <v>322</v>
      </c>
      <c r="J54" s="8" t="str">
        <f t="shared" si="9"/>
        <v>Potential</v>
      </c>
    </row>
    <row r="55" spans="1:10">
      <c r="A55" s="5">
        <f>'Raw Data'!A55</f>
        <v>54</v>
      </c>
      <c r="B55" s="3" t="str">
        <f>'Raw Data'!B55</f>
        <v>Customer 54</v>
      </c>
      <c r="C55" s="5">
        <f>'Raw Data'!E55</f>
        <v>3</v>
      </c>
      <c r="D55" s="4">
        <f>'Raw Data'!F55</f>
        <v>6420</v>
      </c>
      <c r="E55" s="5">
        <f>'Raw Data'!H55</f>
        <v>44</v>
      </c>
      <c r="F55" s="6">
        <f t="shared" si="5"/>
        <v>3</v>
      </c>
      <c r="G55" s="6">
        <f t="shared" si="6"/>
        <v>3</v>
      </c>
      <c r="H55" s="6">
        <f t="shared" si="7"/>
        <v>2</v>
      </c>
      <c r="I55" s="7" t="str">
        <f t="shared" si="8"/>
        <v>332</v>
      </c>
      <c r="J55" s="8" t="str">
        <f t="shared" si="9"/>
        <v>Potential</v>
      </c>
    </row>
    <row r="56" spans="1:10">
      <c r="A56" s="5">
        <f>'Raw Data'!A56</f>
        <v>55</v>
      </c>
      <c r="B56" s="3" t="str">
        <f>'Raw Data'!B56</f>
        <v>Customer 55</v>
      </c>
      <c r="C56" s="5">
        <f>'Raw Data'!E56</f>
        <v>4</v>
      </c>
      <c r="D56" s="4">
        <f>'Raw Data'!F56</f>
        <v>6500</v>
      </c>
      <c r="E56" s="5">
        <f>'Raw Data'!H56</f>
        <v>45</v>
      </c>
      <c r="F56" s="6">
        <f t="shared" si="5"/>
        <v>3</v>
      </c>
      <c r="G56" s="6">
        <f t="shared" si="6"/>
        <v>4</v>
      </c>
      <c r="H56" s="6">
        <f t="shared" si="7"/>
        <v>2</v>
      </c>
      <c r="I56" s="7" t="str">
        <f t="shared" si="8"/>
        <v>342</v>
      </c>
      <c r="J56" s="8" t="str">
        <f t="shared" si="9"/>
        <v>Loyal</v>
      </c>
    </row>
    <row r="57" spans="1:10">
      <c r="A57" s="5">
        <f>'Raw Data'!A57</f>
        <v>56</v>
      </c>
      <c r="B57" s="3" t="str">
        <f>'Raw Data'!B57</f>
        <v>Customer 56</v>
      </c>
      <c r="C57" s="5">
        <f>'Raw Data'!E57</f>
        <v>1</v>
      </c>
      <c r="D57" s="4">
        <f>'Raw Data'!F57</f>
        <v>6580</v>
      </c>
      <c r="E57" s="5">
        <f>'Raw Data'!H57</f>
        <v>46</v>
      </c>
      <c r="F57" s="6">
        <f t="shared" si="5"/>
        <v>3</v>
      </c>
      <c r="G57" s="6">
        <f t="shared" si="6"/>
        <v>1</v>
      </c>
      <c r="H57" s="6">
        <f t="shared" si="7"/>
        <v>2</v>
      </c>
      <c r="I57" s="7" t="str">
        <f t="shared" si="8"/>
        <v>312</v>
      </c>
      <c r="J57" s="8" t="str">
        <f t="shared" si="9"/>
        <v>Potential</v>
      </c>
    </row>
    <row r="58" spans="1:10">
      <c r="A58" s="5">
        <f>'Raw Data'!A58</f>
        <v>57</v>
      </c>
      <c r="B58" s="3" t="str">
        <f>'Raw Data'!B58</f>
        <v>Customer 57</v>
      </c>
      <c r="C58" s="5">
        <f>'Raw Data'!E58</f>
        <v>2</v>
      </c>
      <c r="D58" s="4">
        <f>'Raw Data'!F58</f>
        <v>6660</v>
      </c>
      <c r="E58" s="5">
        <f>'Raw Data'!H58</f>
        <v>47</v>
      </c>
      <c r="F58" s="6">
        <f t="shared" si="5"/>
        <v>3</v>
      </c>
      <c r="G58" s="6">
        <f t="shared" si="6"/>
        <v>2</v>
      </c>
      <c r="H58" s="6">
        <f t="shared" si="7"/>
        <v>2</v>
      </c>
      <c r="I58" s="7" t="str">
        <f t="shared" si="8"/>
        <v>322</v>
      </c>
      <c r="J58" s="8" t="str">
        <f t="shared" si="9"/>
        <v>Potential</v>
      </c>
    </row>
    <row r="59" spans="1:10">
      <c r="A59" s="5">
        <f>'Raw Data'!A59</f>
        <v>58</v>
      </c>
      <c r="B59" s="3" t="str">
        <f>'Raw Data'!B59</f>
        <v>Customer 58</v>
      </c>
      <c r="C59" s="5">
        <f>'Raw Data'!E59</f>
        <v>3</v>
      </c>
      <c r="D59" s="4">
        <f>'Raw Data'!F59</f>
        <v>6740</v>
      </c>
      <c r="E59" s="5">
        <f>'Raw Data'!H59</f>
        <v>48</v>
      </c>
      <c r="F59" s="6">
        <f t="shared" si="5"/>
        <v>3</v>
      </c>
      <c r="G59" s="6">
        <f t="shared" si="6"/>
        <v>3</v>
      </c>
      <c r="H59" s="6">
        <f t="shared" si="7"/>
        <v>2</v>
      </c>
      <c r="I59" s="7" t="str">
        <f t="shared" si="8"/>
        <v>332</v>
      </c>
      <c r="J59" s="8" t="str">
        <f t="shared" si="9"/>
        <v>Potential</v>
      </c>
    </row>
    <row r="60" spans="1:10">
      <c r="A60" s="5">
        <f>'Raw Data'!A60</f>
        <v>59</v>
      </c>
      <c r="B60" s="3" t="str">
        <f>'Raw Data'!B60</f>
        <v>Customer 59</v>
      </c>
      <c r="C60" s="5">
        <f>'Raw Data'!E60</f>
        <v>4</v>
      </c>
      <c r="D60" s="4">
        <f>'Raw Data'!F60</f>
        <v>6820</v>
      </c>
      <c r="E60" s="5">
        <f>'Raw Data'!H60</f>
        <v>49</v>
      </c>
      <c r="F60" s="6">
        <f t="shared" si="5"/>
        <v>3</v>
      </c>
      <c r="G60" s="6">
        <f t="shared" si="6"/>
        <v>4</v>
      </c>
      <c r="H60" s="6">
        <f t="shared" si="7"/>
        <v>2</v>
      </c>
      <c r="I60" s="7" t="str">
        <f t="shared" si="8"/>
        <v>342</v>
      </c>
      <c r="J60" s="8" t="str">
        <f t="shared" si="9"/>
        <v>Loyal</v>
      </c>
    </row>
    <row r="61" spans="1:10">
      <c r="A61" s="5">
        <f>'Raw Data'!A61</f>
        <v>60</v>
      </c>
      <c r="B61" s="3" t="str">
        <f>'Raw Data'!B61</f>
        <v>Customer 60</v>
      </c>
      <c r="C61" s="5">
        <f>'Raw Data'!E61</f>
        <v>1</v>
      </c>
      <c r="D61" s="4">
        <f>'Raw Data'!F61</f>
        <v>6900</v>
      </c>
      <c r="E61" s="5">
        <f>'Raw Data'!H61</f>
        <v>20</v>
      </c>
      <c r="F61" s="6">
        <f t="shared" si="5"/>
        <v>4</v>
      </c>
      <c r="G61" s="6">
        <f t="shared" si="6"/>
        <v>1</v>
      </c>
      <c r="H61" s="6">
        <f t="shared" si="7"/>
        <v>2</v>
      </c>
      <c r="I61" s="7" t="str">
        <f t="shared" si="8"/>
        <v>412</v>
      </c>
      <c r="J61" s="8" t="str">
        <f t="shared" si="9"/>
        <v>Loyal</v>
      </c>
    </row>
    <row r="62" spans="1:10">
      <c r="A62" s="5">
        <f>'Raw Data'!A62</f>
        <v>61</v>
      </c>
      <c r="B62" s="3" t="str">
        <f>'Raw Data'!B62</f>
        <v>Customer 61</v>
      </c>
      <c r="C62" s="5">
        <f>'Raw Data'!E62</f>
        <v>2</v>
      </c>
      <c r="D62" s="4">
        <f>'Raw Data'!F62</f>
        <v>6980</v>
      </c>
      <c r="E62" s="5">
        <f>'Raw Data'!H62</f>
        <v>21</v>
      </c>
      <c r="F62" s="6">
        <f t="shared" si="5"/>
        <v>4</v>
      </c>
      <c r="G62" s="6">
        <f t="shared" si="6"/>
        <v>2</v>
      </c>
      <c r="H62" s="6">
        <f t="shared" si="7"/>
        <v>2</v>
      </c>
      <c r="I62" s="7" t="str">
        <f t="shared" si="8"/>
        <v>422</v>
      </c>
      <c r="J62" s="8" t="str">
        <f t="shared" si="9"/>
        <v>Loyal</v>
      </c>
    </row>
    <row r="63" spans="1:10">
      <c r="A63" s="5">
        <f>'Raw Data'!A63</f>
        <v>62</v>
      </c>
      <c r="B63" s="3" t="str">
        <f>'Raw Data'!B63</f>
        <v>Customer 62</v>
      </c>
      <c r="C63" s="5">
        <f>'Raw Data'!E63</f>
        <v>3</v>
      </c>
      <c r="D63" s="4">
        <f>'Raw Data'!F63</f>
        <v>7060</v>
      </c>
      <c r="E63" s="5">
        <f>'Raw Data'!H63</f>
        <v>22</v>
      </c>
      <c r="F63" s="6">
        <f t="shared" si="5"/>
        <v>4</v>
      </c>
      <c r="G63" s="6">
        <f t="shared" si="6"/>
        <v>3</v>
      </c>
      <c r="H63" s="6">
        <f t="shared" si="7"/>
        <v>2</v>
      </c>
      <c r="I63" s="7" t="str">
        <f t="shared" si="8"/>
        <v>432</v>
      </c>
      <c r="J63" s="8" t="str">
        <f t="shared" si="9"/>
        <v>Loyal</v>
      </c>
    </row>
    <row r="64" spans="1:10">
      <c r="A64" s="5">
        <f>'Raw Data'!A64</f>
        <v>63</v>
      </c>
      <c r="B64" s="3" t="str">
        <f>'Raw Data'!B64</f>
        <v>Customer 63</v>
      </c>
      <c r="C64" s="5">
        <f>'Raw Data'!E64</f>
        <v>4</v>
      </c>
      <c r="D64" s="4">
        <f>'Raw Data'!F64</f>
        <v>7140</v>
      </c>
      <c r="E64" s="5">
        <f>'Raw Data'!H64</f>
        <v>23</v>
      </c>
      <c r="F64" s="6">
        <f t="shared" si="5"/>
        <v>4</v>
      </c>
      <c r="G64" s="6">
        <f t="shared" si="6"/>
        <v>4</v>
      </c>
      <c r="H64" s="6">
        <f t="shared" si="7"/>
        <v>2</v>
      </c>
      <c r="I64" s="7" t="str">
        <f t="shared" si="8"/>
        <v>442</v>
      </c>
      <c r="J64" s="8" t="str">
        <f t="shared" si="9"/>
        <v>Champions</v>
      </c>
    </row>
    <row r="65" spans="1:10">
      <c r="A65" s="5">
        <f>'Raw Data'!A65</f>
        <v>64</v>
      </c>
      <c r="B65" s="3" t="str">
        <f>'Raw Data'!B65</f>
        <v>Customer 64</v>
      </c>
      <c r="C65" s="5">
        <f>'Raw Data'!E65</f>
        <v>1</v>
      </c>
      <c r="D65" s="4">
        <f>'Raw Data'!F65</f>
        <v>7220</v>
      </c>
      <c r="E65" s="5">
        <f>'Raw Data'!H65</f>
        <v>24</v>
      </c>
      <c r="F65" s="6">
        <f t="shared" si="5"/>
        <v>4</v>
      </c>
      <c r="G65" s="6">
        <f t="shared" si="6"/>
        <v>1</v>
      </c>
      <c r="H65" s="6">
        <f t="shared" si="7"/>
        <v>2</v>
      </c>
      <c r="I65" s="7" t="str">
        <f t="shared" si="8"/>
        <v>412</v>
      </c>
      <c r="J65" s="8" t="str">
        <f t="shared" si="9"/>
        <v>Loyal</v>
      </c>
    </row>
    <row r="66" spans="1:10">
      <c r="A66" s="5">
        <f>'Raw Data'!A66</f>
        <v>65</v>
      </c>
      <c r="B66" s="3" t="str">
        <f>'Raw Data'!B66</f>
        <v>Customer 65</v>
      </c>
      <c r="C66" s="5">
        <f>'Raw Data'!E66</f>
        <v>2</v>
      </c>
      <c r="D66" s="4">
        <f>'Raw Data'!F66</f>
        <v>7300</v>
      </c>
      <c r="E66" s="5">
        <f>'Raw Data'!H66</f>
        <v>25</v>
      </c>
      <c r="F66" s="6">
        <f t="shared" ref="F66:F97" si="10">IF(E66&lt;=30,4,IF(E66&lt;=90,3,IF(E66&lt;=180,2,1)))</f>
        <v>4</v>
      </c>
      <c r="G66" s="6">
        <f t="shared" ref="G66:G101" si="11">IF(C66=1,1,IF(C66=2,2,IF(C66=3,3,4)))</f>
        <v>2</v>
      </c>
      <c r="H66" s="6">
        <f t="shared" ref="H66:H101" si="12">IF(D66&lt;5000,1,IF(D66&lt;15000,2,IF(D66&lt;30000,3,4)))</f>
        <v>2</v>
      </c>
      <c r="I66" s="7" t="str">
        <f t="shared" ref="I66:I97" si="13">CONCATENATE(F66,G66,H66)</f>
        <v>422</v>
      </c>
      <c r="J66" s="8" t="str">
        <f t="shared" ref="J66:J97" si="14">IF(VALUE(I66)&gt;=434,"Champions",IF(VALUE(I66)&gt;=334,"Loyal",IF(VALUE(I66)&gt;=234,"Potential",IF(VALUE(I66)&gt;=134,"At Risk",IF(VALUE(I66)&gt;=112,"Churned","Lost")))))</f>
        <v>Loyal</v>
      </c>
    </row>
    <row r="67" spans="1:10">
      <c r="A67" s="5">
        <f>'Raw Data'!A67</f>
        <v>66</v>
      </c>
      <c r="B67" s="3" t="str">
        <f>'Raw Data'!B67</f>
        <v>Customer 66</v>
      </c>
      <c r="C67" s="5">
        <f>'Raw Data'!E67</f>
        <v>3</v>
      </c>
      <c r="D67" s="4">
        <f>'Raw Data'!F67</f>
        <v>7380</v>
      </c>
      <c r="E67" s="5">
        <f>'Raw Data'!H67</f>
        <v>26</v>
      </c>
      <c r="F67" s="6">
        <f t="shared" si="10"/>
        <v>4</v>
      </c>
      <c r="G67" s="6">
        <f t="shared" si="11"/>
        <v>3</v>
      </c>
      <c r="H67" s="6">
        <f t="shared" si="12"/>
        <v>2</v>
      </c>
      <c r="I67" s="7" t="str">
        <f t="shared" si="13"/>
        <v>432</v>
      </c>
      <c r="J67" s="8" t="str">
        <f t="shared" si="14"/>
        <v>Loyal</v>
      </c>
    </row>
    <row r="68" spans="1:10">
      <c r="A68" s="5">
        <f>'Raw Data'!A68</f>
        <v>67</v>
      </c>
      <c r="B68" s="3" t="str">
        <f>'Raw Data'!B68</f>
        <v>Customer 67</v>
      </c>
      <c r="C68" s="5">
        <f>'Raw Data'!E68</f>
        <v>4</v>
      </c>
      <c r="D68" s="4">
        <f>'Raw Data'!F68</f>
        <v>7460</v>
      </c>
      <c r="E68" s="5">
        <f>'Raw Data'!H68</f>
        <v>27</v>
      </c>
      <c r="F68" s="6">
        <f t="shared" si="10"/>
        <v>4</v>
      </c>
      <c r="G68" s="6">
        <f t="shared" si="11"/>
        <v>4</v>
      </c>
      <c r="H68" s="6">
        <f t="shared" si="12"/>
        <v>2</v>
      </c>
      <c r="I68" s="7" t="str">
        <f t="shared" si="13"/>
        <v>442</v>
      </c>
      <c r="J68" s="8" t="str">
        <f t="shared" si="14"/>
        <v>Champions</v>
      </c>
    </row>
    <row r="69" spans="1:10">
      <c r="A69" s="5">
        <f>'Raw Data'!A69</f>
        <v>68</v>
      </c>
      <c r="B69" s="3" t="str">
        <f>'Raw Data'!B69</f>
        <v>Customer 68</v>
      </c>
      <c r="C69" s="5">
        <f>'Raw Data'!E69</f>
        <v>1</v>
      </c>
      <c r="D69" s="4">
        <f>'Raw Data'!F69</f>
        <v>7540</v>
      </c>
      <c r="E69" s="5">
        <f>'Raw Data'!H69</f>
        <v>28</v>
      </c>
      <c r="F69" s="6">
        <f t="shared" si="10"/>
        <v>4</v>
      </c>
      <c r="G69" s="6">
        <f t="shared" si="11"/>
        <v>1</v>
      </c>
      <c r="H69" s="6">
        <f t="shared" si="12"/>
        <v>2</v>
      </c>
      <c r="I69" s="7" t="str">
        <f t="shared" si="13"/>
        <v>412</v>
      </c>
      <c r="J69" s="8" t="str">
        <f t="shared" si="14"/>
        <v>Loyal</v>
      </c>
    </row>
    <row r="70" spans="1:10">
      <c r="A70" s="5">
        <f>'Raw Data'!A70</f>
        <v>69</v>
      </c>
      <c r="B70" s="3" t="str">
        <f>'Raw Data'!B70</f>
        <v>Customer 69</v>
      </c>
      <c r="C70" s="5">
        <f>'Raw Data'!E70</f>
        <v>2</v>
      </c>
      <c r="D70" s="4">
        <f>'Raw Data'!F70</f>
        <v>7620</v>
      </c>
      <c r="E70" s="5">
        <f>'Raw Data'!H70</f>
        <v>29</v>
      </c>
      <c r="F70" s="6">
        <f t="shared" si="10"/>
        <v>4</v>
      </c>
      <c r="G70" s="6">
        <f t="shared" si="11"/>
        <v>2</v>
      </c>
      <c r="H70" s="6">
        <f t="shared" si="12"/>
        <v>2</v>
      </c>
      <c r="I70" s="7" t="str">
        <f t="shared" si="13"/>
        <v>422</v>
      </c>
      <c r="J70" s="8" t="str">
        <f t="shared" si="14"/>
        <v>Loyal</v>
      </c>
    </row>
    <row r="71" spans="1:10">
      <c r="A71" s="5">
        <f>'Raw Data'!A71</f>
        <v>70</v>
      </c>
      <c r="B71" s="3" t="str">
        <f>'Raw Data'!B71</f>
        <v>Customer 70</v>
      </c>
      <c r="C71" s="5">
        <f>'Raw Data'!E71</f>
        <v>3</v>
      </c>
      <c r="D71" s="4">
        <f>'Raw Data'!F71</f>
        <v>7700</v>
      </c>
      <c r="E71" s="5">
        <f>'Raw Data'!H71</f>
        <v>30</v>
      </c>
      <c r="F71" s="6">
        <f t="shared" si="10"/>
        <v>4</v>
      </c>
      <c r="G71" s="6">
        <f t="shared" si="11"/>
        <v>3</v>
      </c>
      <c r="H71" s="6">
        <f t="shared" si="12"/>
        <v>2</v>
      </c>
      <c r="I71" s="7" t="str">
        <f t="shared" si="13"/>
        <v>432</v>
      </c>
      <c r="J71" s="8" t="str">
        <f t="shared" si="14"/>
        <v>Loyal</v>
      </c>
    </row>
    <row r="72" spans="1:10">
      <c r="A72" s="5">
        <f>'Raw Data'!A72</f>
        <v>71</v>
      </c>
      <c r="B72" s="3" t="str">
        <f>'Raw Data'!B72</f>
        <v>Customer 71</v>
      </c>
      <c r="C72" s="5">
        <f>'Raw Data'!E72</f>
        <v>4</v>
      </c>
      <c r="D72" s="4">
        <f>'Raw Data'!F72</f>
        <v>7780</v>
      </c>
      <c r="E72" s="5">
        <f>'Raw Data'!H72</f>
        <v>31</v>
      </c>
      <c r="F72" s="6">
        <f t="shared" si="10"/>
        <v>3</v>
      </c>
      <c r="G72" s="6">
        <f t="shared" si="11"/>
        <v>4</v>
      </c>
      <c r="H72" s="6">
        <f t="shared" si="12"/>
        <v>2</v>
      </c>
      <c r="I72" s="7" t="str">
        <f t="shared" si="13"/>
        <v>342</v>
      </c>
      <c r="J72" s="8" t="str">
        <f t="shared" si="14"/>
        <v>Loyal</v>
      </c>
    </row>
    <row r="73" spans="1:10">
      <c r="A73" s="5">
        <f>'Raw Data'!A73</f>
        <v>72</v>
      </c>
      <c r="B73" s="3" t="str">
        <f>'Raw Data'!B73</f>
        <v>Customer 72</v>
      </c>
      <c r="C73" s="5">
        <f>'Raw Data'!E73</f>
        <v>1</v>
      </c>
      <c r="D73" s="4">
        <f>'Raw Data'!F73</f>
        <v>7860</v>
      </c>
      <c r="E73" s="5">
        <f>'Raw Data'!H73</f>
        <v>32</v>
      </c>
      <c r="F73" s="6">
        <f t="shared" si="10"/>
        <v>3</v>
      </c>
      <c r="G73" s="6">
        <f t="shared" si="11"/>
        <v>1</v>
      </c>
      <c r="H73" s="6">
        <f t="shared" si="12"/>
        <v>2</v>
      </c>
      <c r="I73" s="7" t="str">
        <f t="shared" si="13"/>
        <v>312</v>
      </c>
      <c r="J73" s="8" t="str">
        <f t="shared" si="14"/>
        <v>Potential</v>
      </c>
    </row>
    <row r="74" spans="1:10">
      <c r="A74" s="5">
        <f>'Raw Data'!A74</f>
        <v>73</v>
      </c>
      <c r="B74" s="3" t="str">
        <f>'Raw Data'!B74</f>
        <v>Customer 73</v>
      </c>
      <c r="C74" s="5">
        <f>'Raw Data'!E74</f>
        <v>2</v>
      </c>
      <c r="D74" s="4">
        <f>'Raw Data'!F74</f>
        <v>7940</v>
      </c>
      <c r="E74" s="5">
        <f>'Raw Data'!H74</f>
        <v>33</v>
      </c>
      <c r="F74" s="6">
        <f t="shared" si="10"/>
        <v>3</v>
      </c>
      <c r="G74" s="6">
        <f t="shared" si="11"/>
        <v>2</v>
      </c>
      <c r="H74" s="6">
        <f t="shared" si="12"/>
        <v>2</v>
      </c>
      <c r="I74" s="7" t="str">
        <f t="shared" si="13"/>
        <v>322</v>
      </c>
      <c r="J74" s="8" t="str">
        <f t="shared" si="14"/>
        <v>Potential</v>
      </c>
    </row>
    <row r="75" spans="1:10">
      <c r="A75" s="5">
        <f>'Raw Data'!A75</f>
        <v>74</v>
      </c>
      <c r="B75" s="3" t="str">
        <f>'Raw Data'!B75</f>
        <v>Customer 74</v>
      </c>
      <c r="C75" s="5">
        <f>'Raw Data'!E75</f>
        <v>3</v>
      </c>
      <c r="D75" s="4">
        <f>'Raw Data'!F75</f>
        <v>8020</v>
      </c>
      <c r="E75" s="5">
        <f>'Raw Data'!H75</f>
        <v>34</v>
      </c>
      <c r="F75" s="6">
        <f t="shared" si="10"/>
        <v>3</v>
      </c>
      <c r="G75" s="6">
        <f t="shared" si="11"/>
        <v>3</v>
      </c>
      <c r="H75" s="6">
        <f t="shared" si="12"/>
        <v>2</v>
      </c>
      <c r="I75" s="7" t="str">
        <f t="shared" si="13"/>
        <v>332</v>
      </c>
      <c r="J75" s="8" t="str">
        <f t="shared" si="14"/>
        <v>Potential</v>
      </c>
    </row>
    <row r="76" spans="1:10">
      <c r="A76" s="5">
        <f>'Raw Data'!A76</f>
        <v>75</v>
      </c>
      <c r="B76" s="3" t="str">
        <f>'Raw Data'!B76</f>
        <v>Customer 75</v>
      </c>
      <c r="C76" s="5">
        <f>'Raw Data'!E76</f>
        <v>4</v>
      </c>
      <c r="D76" s="4">
        <f>'Raw Data'!F76</f>
        <v>8100</v>
      </c>
      <c r="E76" s="5">
        <f>'Raw Data'!H76</f>
        <v>35</v>
      </c>
      <c r="F76" s="6">
        <f t="shared" si="10"/>
        <v>3</v>
      </c>
      <c r="G76" s="6">
        <f t="shared" si="11"/>
        <v>4</v>
      </c>
      <c r="H76" s="6">
        <f t="shared" si="12"/>
        <v>2</v>
      </c>
      <c r="I76" s="7" t="str">
        <f t="shared" si="13"/>
        <v>342</v>
      </c>
      <c r="J76" s="8" t="str">
        <f t="shared" si="14"/>
        <v>Loyal</v>
      </c>
    </row>
    <row r="77" spans="1:10">
      <c r="A77" s="5">
        <f>'Raw Data'!A77</f>
        <v>76</v>
      </c>
      <c r="B77" s="3" t="str">
        <f>'Raw Data'!B77</f>
        <v>Customer 76</v>
      </c>
      <c r="C77" s="5">
        <f>'Raw Data'!E77</f>
        <v>1</v>
      </c>
      <c r="D77" s="4">
        <f>'Raw Data'!F77</f>
        <v>8180</v>
      </c>
      <c r="E77" s="5">
        <f>'Raw Data'!H77</f>
        <v>36</v>
      </c>
      <c r="F77" s="6">
        <f t="shared" si="10"/>
        <v>3</v>
      </c>
      <c r="G77" s="6">
        <f t="shared" si="11"/>
        <v>1</v>
      </c>
      <c r="H77" s="6">
        <f t="shared" si="12"/>
        <v>2</v>
      </c>
      <c r="I77" s="7" t="str">
        <f t="shared" si="13"/>
        <v>312</v>
      </c>
      <c r="J77" s="8" t="str">
        <f t="shared" si="14"/>
        <v>Potential</v>
      </c>
    </row>
    <row r="78" spans="1:10">
      <c r="A78" s="5">
        <f>'Raw Data'!A78</f>
        <v>77</v>
      </c>
      <c r="B78" s="3" t="str">
        <f>'Raw Data'!B78</f>
        <v>Customer 77</v>
      </c>
      <c r="C78" s="5">
        <f>'Raw Data'!E78</f>
        <v>2</v>
      </c>
      <c r="D78" s="4">
        <f>'Raw Data'!F78</f>
        <v>8260</v>
      </c>
      <c r="E78" s="5">
        <f>'Raw Data'!H78</f>
        <v>37</v>
      </c>
      <c r="F78" s="6">
        <f t="shared" si="10"/>
        <v>3</v>
      </c>
      <c r="G78" s="6">
        <f t="shared" si="11"/>
        <v>2</v>
      </c>
      <c r="H78" s="6">
        <f t="shared" si="12"/>
        <v>2</v>
      </c>
      <c r="I78" s="7" t="str">
        <f t="shared" si="13"/>
        <v>322</v>
      </c>
      <c r="J78" s="8" t="str">
        <f t="shared" si="14"/>
        <v>Potential</v>
      </c>
    </row>
    <row r="79" spans="1:10">
      <c r="A79" s="5">
        <f>'Raw Data'!A79</f>
        <v>78</v>
      </c>
      <c r="B79" s="3" t="str">
        <f>'Raw Data'!B79</f>
        <v>Customer 78</v>
      </c>
      <c r="C79" s="5">
        <f>'Raw Data'!E79</f>
        <v>3</v>
      </c>
      <c r="D79" s="4">
        <f>'Raw Data'!F79</f>
        <v>8340</v>
      </c>
      <c r="E79" s="5">
        <f>'Raw Data'!H79</f>
        <v>38</v>
      </c>
      <c r="F79" s="6">
        <f t="shared" si="10"/>
        <v>3</v>
      </c>
      <c r="G79" s="6">
        <f t="shared" si="11"/>
        <v>3</v>
      </c>
      <c r="H79" s="6">
        <f t="shared" si="12"/>
        <v>2</v>
      </c>
      <c r="I79" s="7" t="str">
        <f t="shared" si="13"/>
        <v>332</v>
      </c>
      <c r="J79" s="8" t="str">
        <f t="shared" si="14"/>
        <v>Potential</v>
      </c>
    </row>
    <row r="80" spans="1:10">
      <c r="A80" s="5">
        <f>'Raw Data'!A80</f>
        <v>79</v>
      </c>
      <c r="B80" s="3" t="str">
        <f>'Raw Data'!B80</f>
        <v>Customer 79</v>
      </c>
      <c r="C80" s="5">
        <f>'Raw Data'!E80</f>
        <v>4</v>
      </c>
      <c r="D80" s="4">
        <f>'Raw Data'!F80</f>
        <v>8420</v>
      </c>
      <c r="E80" s="5">
        <f>'Raw Data'!H80</f>
        <v>39</v>
      </c>
      <c r="F80" s="6">
        <f t="shared" si="10"/>
        <v>3</v>
      </c>
      <c r="G80" s="6">
        <f t="shared" si="11"/>
        <v>4</v>
      </c>
      <c r="H80" s="6">
        <f t="shared" si="12"/>
        <v>2</v>
      </c>
      <c r="I80" s="7" t="str">
        <f t="shared" si="13"/>
        <v>342</v>
      </c>
      <c r="J80" s="8" t="str">
        <f t="shared" si="14"/>
        <v>Loyal</v>
      </c>
    </row>
    <row r="81" spans="1:10">
      <c r="A81" s="5">
        <f>'Raw Data'!A81</f>
        <v>80</v>
      </c>
      <c r="B81" s="3" t="str">
        <f>'Raw Data'!B81</f>
        <v>Customer 80</v>
      </c>
      <c r="C81" s="5">
        <f>'Raw Data'!E81</f>
        <v>1</v>
      </c>
      <c r="D81" s="4">
        <f>'Raw Data'!F81</f>
        <v>8500</v>
      </c>
      <c r="E81" s="5">
        <f>'Raw Data'!H81</f>
        <v>40</v>
      </c>
      <c r="F81" s="6">
        <f t="shared" si="10"/>
        <v>3</v>
      </c>
      <c r="G81" s="6">
        <f t="shared" si="11"/>
        <v>1</v>
      </c>
      <c r="H81" s="6">
        <f t="shared" si="12"/>
        <v>2</v>
      </c>
      <c r="I81" s="7" t="str">
        <f t="shared" si="13"/>
        <v>312</v>
      </c>
      <c r="J81" s="8" t="str">
        <f t="shared" si="14"/>
        <v>Potential</v>
      </c>
    </row>
    <row r="82" spans="1:10">
      <c r="A82" s="5">
        <f>'Raw Data'!A82</f>
        <v>81</v>
      </c>
      <c r="B82" s="3" t="str">
        <f>'Raw Data'!B82</f>
        <v>Customer 81</v>
      </c>
      <c r="C82" s="5">
        <f>'Raw Data'!E82</f>
        <v>2</v>
      </c>
      <c r="D82" s="4">
        <f>'Raw Data'!F82</f>
        <v>8580</v>
      </c>
      <c r="E82" s="5">
        <f>'Raw Data'!H82</f>
        <v>41</v>
      </c>
      <c r="F82" s="6">
        <f t="shared" si="10"/>
        <v>3</v>
      </c>
      <c r="G82" s="6">
        <f t="shared" si="11"/>
        <v>2</v>
      </c>
      <c r="H82" s="6">
        <f t="shared" si="12"/>
        <v>2</v>
      </c>
      <c r="I82" s="7" t="str">
        <f t="shared" si="13"/>
        <v>322</v>
      </c>
      <c r="J82" s="8" t="str">
        <f t="shared" si="14"/>
        <v>Potential</v>
      </c>
    </row>
    <row r="83" spans="1:10">
      <c r="A83" s="5">
        <f>'Raw Data'!A83</f>
        <v>82</v>
      </c>
      <c r="B83" s="3" t="str">
        <f>'Raw Data'!B83</f>
        <v>Customer 82</v>
      </c>
      <c r="C83" s="5">
        <f>'Raw Data'!E83</f>
        <v>3</v>
      </c>
      <c r="D83" s="4">
        <f>'Raw Data'!F83</f>
        <v>8660</v>
      </c>
      <c r="E83" s="5">
        <f>'Raw Data'!H83</f>
        <v>42</v>
      </c>
      <c r="F83" s="6">
        <f t="shared" si="10"/>
        <v>3</v>
      </c>
      <c r="G83" s="6">
        <f t="shared" si="11"/>
        <v>3</v>
      </c>
      <c r="H83" s="6">
        <f t="shared" si="12"/>
        <v>2</v>
      </c>
      <c r="I83" s="7" t="str">
        <f t="shared" si="13"/>
        <v>332</v>
      </c>
      <c r="J83" s="8" t="str">
        <f t="shared" si="14"/>
        <v>Potential</v>
      </c>
    </row>
    <row r="84" spans="1:10">
      <c r="A84" s="5">
        <f>'Raw Data'!A84</f>
        <v>83</v>
      </c>
      <c r="B84" s="3" t="str">
        <f>'Raw Data'!B84</f>
        <v>Customer 83</v>
      </c>
      <c r="C84" s="5">
        <f>'Raw Data'!E84</f>
        <v>4</v>
      </c>
      <c r="D84" s="4">
        <f>'Raw Data'!F84</f>
        <v>8740</v>
      </c>
      <c r="E84" s="5">
        <f>'Raw Data'!H84</f>
        <v>43</v>
      </c>
      <c r="F84" s="6">
        <f t="shared" si="10"/>
        <v>3</v>
      </c>
      <c r="G84" s="6">
        <f t="shared" si="11"/>
        <v>4</v>
      </c>
      <c r="H84" s="6">
        <f t="shared" si="12"/>
        <v>2</v>
      </c>
      <c r="I84" s="7" t="str">
        <f t="shared" si="13"/>
        <v>342</v>
      </c>
      <c r="J84" s="8" t="str">
        <f t="shared" si="14"/>
        <v>Loyal</v>
      </c>
    </row>
    <row r="85" spans="1:10">
      <c r="A85" s="5">
        <f>'Raw Data'!A85</f>
        <v>84</v>
      </c>
      <c r="B85" s="3" t="str">
        <f>'Raw Data'!B85</f>
        <v>Customer 84</v>
      </c>
      <c r="C85" s="5">
        <f>'Raw Data'!E85</f>
        <v>1</v>
      </c>
      <c r="D85" s="4">
        <f>'Raw Data'!F85</f>
        <v>8820</v>
      </c>
      <c r="E85" s="5">
        <f>'Raw Data'!H85</f>
        <v>44</v>
      </c>
      <c r="F85" s="6">
        <f t="shared" si="10"/>
        <v>3</v>
      </c>
      <c r="G85" s="6">
        <f t="shared" si="11"/>
        <v>1</v>
      </c>
      <c r="H85" s="6">
        <f t="shared" si="12"/>
        <v>2</v>
      </c>
      <c r="I85" s="7" t="str">
        <f t="shared" si="13"/>
        <v>312</v>
      </c>
      <c r="J85" s="8" t="str">
        <f t="shared" si="14"/>
        <v>Potential</v>
      </c>
    </row>
    <row r="86" spans="1:10">
      <c r="A86" s="5">
        <f>'Raw Data'!A86</f>
        <v>85</v>
      </c>
      <c r="B86" s="3" t="str">
        <f>'Raw Data'!B86</f>
        <v>Customer 85</v>
      </c>
      <c r="C86" s="5">
        <f>'Raw Data'!E86</f>
        <v>2</v>
      </c>
      <c r="D86" s="4">
        <f>'Raw Data'!F86</f>
        <v>8900</v>
      </c>
      <c r="E86" s="5">
        <f>'Raw Data'!H86</f>
        <v>45</v>
      </c>
      <c r="F86" s="6">
        <f t="shared" si="10"/>
        <v>3</v>
      </c>
      <c r="G86" s="6">
        <f t="shared" si="11"/>
        <v>2</v>
      </c>
      <c r="H86" s="6">
        <f t="shared" si="12"/>
        <v>2</v>
      </c>
      <c r="I86" s="7" t="str">
        <f t="shared" si="13"/>
        <v>322</v>
      </c>
      <c r="J86" s="8" t="str">
        <f t="shared" si="14"/>
        <v>Potential</v>
      </c>
    </row>
    <row r="87" spans="1:10">
      <c r="A87" s="5">
        <f>'Raw Data'!A87</f>
        <v>86</v>
      </c>
      <c r="B87" s="3" t="str">
        <f>'Raw Data'!B87</f>
        <v>Customer 86</v>
      </c>
      <c r="C87" s="5">
        <f>'Raw Data'!E87</f>
        <v>3</v>
      </c>
      <c r="D87" s="4">
        <f>'Raw Data'!F87</f>
        <v>8980</v>
      </c>
      <c r="E87" s="5">
        <f>'Raw Data'!H87</f>
        <v>46</v>
      </c>
      <c r="F87" s="6">
        <f t="shared" si="10"/>
        <v>3</v>
      </c>
      <c r="G87" s="6">
        <f t="shared" si="11"/>
        <v>3</v>
      </c>
      <c r="H87" s="6">
        <f t="shared" si="12"/>
        <v>2</v>
      </c>
      <c r="I87" s="7" t="str">
        <f t="shared" si="13"/>
        <v>332</v>
      </c>
      <c r="J87" s="8" t="str">
        <f t="shared" si="14"/>
        <v>Potential</v>
      </c>
    </row>
    <row r="88" spans="1:10">
      <c r="A88" s="5">
        <f>'Raw Data'!A88</f>
        <v>87</v>
      </c>
      <c r="B88" s="3" t="str">
        <f>'Raw Data'!B88</f>
        <v>Customer 87</v>
      </c>
      <c r="C88" s="5">
        <f>'Raw Data'!E88</f>
        <v>4</v>
      </c>
      <c r="D88" s="4">
        <f>'Raw Data'!F88</f>
        <v>9060</v>
      </c>
      <c r="E88" s="5">
        <f>'Raw Data'!H88</f>
        <v>47</v>
      </c>
      <c r="F88" s="6">
        <f t="shared" si="10"/>
        <v>3</v>
      </c>
      <c r="G88" s="6">
        <f t="shared" si="11"/>
        <v>4</v>
      </c>
      <c r="H88" s="6">
        <f t="shared" si="12"/>
        <v>2</v>
      </c>
      <c r="I88" s="7" t="str">
        <f t="shared" si="13"/>
        <v>342</v>
      </c>
      <c r="J88" s="8" t="str">
        <f t="shared" si="14"/>
        <v>Loyal</v>
      </c>
    </row>
    <row r="89" spans="1:10">
      <c r="A89" s="5">
        <f>'Raw Data'!A89</f>
        <v>88</v>
      </c>
      <c r="B89" s="3" t="str">
        <f>'Raw Data'!B89</f>
        <v>Customer 88</v>
      </c>
      <c r="C89" s="5">
        <f>'Raw Data'!E89</f>
        <v>1</v>
      </c>
      <c r="D89" s="4">
        <f>'Raw Data'!F89</f>
        <v>9140</v>
      </c>
      <c r="E89" s="5">
        <f>'Raw Data'!H89</f>
        <v>48</v>
      </c>
      <c r="F89" s="6">
        <f t="shared" si="10"/>
        <v>3</v>
      </c>
      <c r="G89" s="6">
        <f t="shared" si="11"/>
        <v>1</v>
      </c>
      <c r="H89" s="6">
        <f t="shared" si="12"/>
        <v>2</v>
      </c>
      <c r="I89" s="7" t="str">
        <f t="shared" si="13"/>
        <v>312</v>
      </c>
      <c r="J89" s="8" t="str">
        <f t="shared" si="14"/>
        <v>Potential</v>
      </c>
    </row>
    <row r="90" spans="1:10">
      <c r="A90" s="5">
        <f>'Raw Data'!A90</f>
        <v>89</v>
      </c>
      <c r="B90" s="3" t="str">
        <f>'Raw Data'!B90</f>
        <v>Customer 89</v>
      </c>
      <c r="C90" s="5">
        <f>'Raw Data'!E90</f>
        <v>2</v>
      </c>
      <c r="D90" s="4">
        <f>'Raw Data'!F90</f>
        <v>9220</v>
      </c>
      <c r="E90" s="5">
        <f>'Raw Data'!H90</f>
        <v>49</v>
      </c>
      <c r="F90" s="6">
        <f t="shared" si="10"/>
        <v>3</v>
      </c>
      <c r="G90" s="6">
        <f t="shared" si="11"/>
        <v>2</v>
      </c>
      <c r="H90" s="6">
        <f t="shared" si="12"/>
        <v>2</v>
      </c>
      <c r="I90" s="7" t="str">
        <f t="shared" si="13"/>
        <v>322</v>
      </c>
      <c r="J90" s="8" t="str">
        <f t="shared" si="14"/>
        <v>Potential</v>
      </c>
    </row>
    <row r="91" spans="1:10">
      <c r="A91" s="5">
        <f>'Raw Data'!A91</f>
        <v>90</v>
      </c>
      <c r="B91" s="3" t="str">
        <f>'Raw Data'!B91</f>
        <v>Customer 90</v>
      </c>
      <c r="C91" s="5">
        <f>'Raw Data'!E91</f>
        <v>3</v>
      </c>
      <c r="D91" s="4">
        <f>'Raw Data'!F91</f>
        <v>9300</v>
      </c>
      <c r="E91" s="5">
        <f>'Raw Data'!H91</f>
        <v>20</v>
      </c>
      <c r="F91" s="6">
        <f t="shared" si="10"/>
        <v>4</v>
      </c>
      <c r="G91" s="6">
        <f t="shared" si="11"/>
        <v>3</v>
      </c>
      <c r="H91" s="6">
        <f t="shared" si="12"/>
        <v>2</v>
      </c>
      <c r="I91" s="7" t="str">
        <f t="shared" si="13"/>
        <v>432</v>
      </c>
      <c r="J91" s="8" t="str">
        <f t="shared" si="14"/>
        <v>Loyal</v>
      </c>
    </row>
    <row r="92" spans="1:10">
      <c r="A92" s="5">
        <f>'Raw Data'!A92</f>
        <v>91</v>
      </c>
      <c r="B92" s="3" t="str">
        <f>'Raw Data'!B92</f>
        <v>Customer 91</v>
      </c>
      <c r="C92" s="5">
        <f>'Raw Data'!E92</f>
        <v>4</v>
      </c>
      <c r="D92" s="4">
        <f>'Raw Data'!F92</f>
        <v>9380</v>
      </c>
      <c r="E92" s="5">
        <f>'Raw Data'!H92</f>
        <v>21</v>
      </c>
      <c r="F92" s="6">
        <f t="shared" si="10"/>
        <v>4</v>
      </c>
      <c r="G92" s="6">
        <f t="shared" si="11"/>
        <v>4</v>
      </c>
      <c r="H92" s="6">
        <f t="shared" si="12"/>
        <v>2</v>
      </c>
      <c r="I92" s="7" t="str">
        <f t="shared" si="13"/>
        <v>442</v>
      </c>
      <c r="J92" s="8" t="str">
        <f t="shared" si="14"/>
        <v>Champions</v>
      </c>
    </row>
    <row r="93" spans="1:10">
      <c r="A93" s="5">
        <f>'Raw Data'!A93</f>
        <v>92</v>
      </c>
      <c r="B93" s="3" t="str">
        <f>'Raw Data'!B93</f>
        <v>Customer 92</v>
      </c>
      <c r="C93" s="5">
        <f>'Raw Data'!E93</f>
        <v>1</v>
      </c>
      <c r="D93" s="4">
        <f>'Raw Data'!F93</f>
        <v>9460</v>
      </c>
      <c r="E93" s="5">
        <f>'Raw Data'!H93</f>
        <v>22</v>
      </c>
      <c r="F93" s="6">
        <f t="shared" si="10"/>
        <v>4</v>
      </c>
      <c r="G93" s="6">
        <f t="shared" si="11"/>
        <v>1</v>
      </c>
      <c r="H93" s="6">
        <f t="shared" si="12"/>
        <v>2</v>
      </c>
      <c r="I93" s="7" t="str">
        <f t="shared" si="13"/>
        <v>412</v>
      </c>
      <c r="J93" s="8" t="str">
        <f t="shared" si="14"/>
        <v>Loyal</v>
      </c>
    </row>
    <row r="94" spans="1:10">
      <c r="A94" s="5">
        <f>'Raw Data'!A94</f>
        <v>93</v>
      </c>
      <c r="B94" s="3" t="str">
        <f>'Raw Data'!B94</f>
        <v>Customer 93</v>
      </c>
      <c r="C94" s="5">
        <f>'Raw Data'!E94</f>
        <v>2</v>
      </c>
      <c r="D94" s="4">
        <f>'Raw Data'!F94</f>
        <v>9540</v>
      </c>
      <c r="E94" s="5">
        <f>'Raw Data'!H94</f>
        <v>23</v>
      </c>
      <c r="F94" s="6">
        <f t="shared" si="10"/>
        <v>4</v>
      </c>
      <c r="G94" s="6">
        <f t="shared" si="11"/>
        <v>2</v>
      </c>
      <c r="H94" s="6">
        <f t="shared" si="12"/>
        <v>2</v>
      </c>
      <c r="I94" s="7" t="str">
        <f t="shared" si="13"/>
        <v>422</v>
      </c>
      <c r="J94" s="8" t="str">
        <f t="shared" si="14"/>
        <v>Loyal</v>
      </c>
    </row>
    <row r="95" spans="1:10">
      <c r="A95" s="5">
        <f>'Raw Data'!A95</f>
        <v>94</v>
      </c>
      <c r="B95" s="3" t="str">
        <f>'Raw Data'!B95</f>
        <v>Customer 94</v>
      </c>
      <c r="C95" s="5">
        <f>'Raw Data'!E95</f>
        <v>3</v>
      </c>
      <c r="D95" s="4">
        <f>'Raw Data'!F95</f>
        <v>9620</v>
      </c>
      <c r="E95" s="5">
        <f>'Raw Data'!H95</f>
        <v>24</v>
      </c>
      <c r="F95" s="6">
        <f t="shared" si="10"/>
        <v>4</v>
      </c>
      <c r="G95" s="6">
        <f t="shared" si="11"/>
        <v>3</v>
      </c>
      <c r="H95" s="6">
        <f t="shared" si="12"/>
        <v>2</v>
      </c>
      <c r="I95" s="7" t="str">
        <f t="shared" si="13"/>
        <v>432</v>
      </c>
      <c r="J95" s="8" t="str">
        <f t="shared" si="14"/>
        <v>Loyal</v>
      </c>
    </row>
    <row r="96" spans="1:10">
      <c r="A96" s="5">
        <f>'Raw Data'!A96</f>
        <v>95</v>
      </c>
      <c r="B96" s="3" t="str">
        <f>'Raw Data'!B96</f>
        <v>Customer 95</v>
      </c>
      <c r="C96" s="5">
        <f>'Raw Data'!E96</f>
        <v>4</v>
      </c>
      <c r="D96" s="4">
        <f>'Raw Data'!F96</f>
        <v>9700</v>
      </c>
      <c r="E96" s="5">
        <f>'Raw Data'!H96</f>
        <v>25</v>
      </c>
      <c r="F96" s="6">
        <f t="shared" si="10"/>
        <v>4</v>
      </c>
      <c r="G96" s="6">
        <f t="shared" si="11"/>
        <v>4</v>
      </c>
      <c r="H96" s="6">
        <f t="shared" si="12"/>
        <v>2</v>
      </c>
      <c r="I96" s="7" t="str">
        <f t="shared" si="13"/>
        <v>442</v>
      </c>
      <c r="J96" s="8" t="str">
        <f t="shared" si="14"/>
        <v>Champions</v>
      </c>
    </row>
    <row r="97" spans="1:10">
      <c r="A97" s="5">
        <f>'Raw Data'!A97</f>
        <v>96</v>
      </c>
      <c r="B97" s="3" t="str">
        <f>'Raw Data'!B97</f>
        <v>Customer 96</v>
      </c>
      <c r="C97" s="5">
        <f>'Raw Data'!E97</f>
        <v>1</v>
      </c>
      <c r="D97" s="4">
        <f>'Raw Data'!F97</f>
        <v>9780</v>
      </c>
      <c r="E97" s="5">
        <f>'Raw Data'!H97</f>
        <v>26</v>
      </c>
      <c r="F97" s="6">
        <f t="shared" si="10"/>
        <v>4</v>
      </c>
      <c r="G97" s="6">
        <f t="shared" si="11"/>
        <v>1</v>
      </c>
      <c r="H97" s="6">
        <f t="shared" si="12"/>
        <v>2</v>
      </c>
      <c r="I97" s="7" t="str">
        <f t="shared" si="13"/>
        <v>412</v>
      </c>
      <c r="J97" s="8" t="str">
        <f t="shared" si="14"/>
        <v>Loyal</v>
      </c>
    </row>
    <row r="98" spans="1:10">
      <c r="A98" s="5">
        <f>'Raw Data'!A98</f>
        <v>97</v>
      </c>
      <c r="B98" s="3" t="str">
        <f>'Raw Data'!B98</f>
        <v>Customer 97</v>
      </c>
      <c r="C98" s="5">
        <f>'Raw Data'!E98</f>
        <v>2</v>
      </c>
      <c r="D98" s="4">
        <f>'Raw Data'!F98</f>
        <v>9860</v>
      </c>
      <c r="E98" s="5">
        <f>'Raw Data'!H98</f>
        <v>27</v>
      </c>
      <c r="F98" s="6">
        <f t="shared" ref="F98:F129" si="15">IF(E98&lt;=30,4,IF(E98&lt;=90,3,IF(E98&lt;=180,2,1)))</f>
        <v>4</v>
      </c>
      <c r="G98" s="6">
        <f t="shared" si="11"/>
        <v>2</v>
      </c>
      <c r="H98" s="6">
        <f t="shared" si="12"/>
        <v>2</v>
      </c>
      <c r="I98" s="7" t="str">
        <f t="shared" ref="I98:I129" si="16">CONCATENATE(F98,G98,H98)</f>
        <v>422</v>
      </c>
      <c r="J98" s="8" t="str">
        <f t="shared" ref="J98:J129" si="17">IF(VALUE(I98)&gt;=434,"Champions",IF(VALUE(I98)&gt;=334,"Loyal",IF(VALUE(I98)&gt;=234,"Potential",IF(VALUE(I98)&gt;=134,"At Risk",IF(VALUE(I98)&gt;=112,"Churned","Lost")))))</f>
        <v>Loyal</v>
      </c>
    </row>
    <row r="99" spans="1:10">
      <c r="A99" s="5">
        <f>'Raw Data'!A99</f>
        <v>98</v>
      </c>
      <c r="B99" s="3" t="str">
        <f>'Raw Data'!B99</f>
        <v>Customer 98</v>
      </c>
      <c r="C99" s="5">
        <f>'Raw Data'!E99</f>
        <v>3</v>
      </c>
      <c r="D99" s="4">
        <f>'Raw Data'!F99</f>
        <v>9940</v>
      </c>
      <c r="E99" s="5">
        <f>'Raw Data'!H99</f>
        <v>28</v>
      </c>
      <c r="F99" s="6">
        <f t="shared" si="15"/>
        <v>4</v>
      </c>
      <c r="G99" s="6">
        <f t="shared" si="11"/>
        <v>3</v>
      </c>
      <c r="H99" s="6">
        <f t="shared" si="12"/>
        <v>2</v>
      </c>
      <c r="I99" s="7" t="str">
        <f t="shared" si="16"/>
        <v>432</v>
      </c>
      <c r="J99" s="8" t="str">
        <f t="shared" si="17"/>
        <v>Loyal</v>
      </c>
    </row>
    <row r="100" spans="1:10">
      <c r="A100" s="5">
        <f>'Raw Data'!A100</f>
        <v>99</v>
      </c>
      <c r="B100" s="3" t="str">
        <f>'Raw Data'!B100</f>
        <v>Customer 99</v>
      </c>
      <c r="C100" s="5">
        <f>'Raw Data'!E100</f>
        <v>4</v>
      </c>
      <c r="D100" s="4">
        <f>'Raw Data'!F100</f>
        <v>10020</v>
      </c>
      <c r="E100" s="5">
        <f>'Raw Data'!H100</f>
        <v>29</v>
      </c>
      <c r="F100" s="6">
        <f t="shared" si="15"/>
        <v>4</v>
      </c>
      <c r="G100" s="6">
        <f t="shared" si="11"/>
        <v>4</v>
      </c>
      <c r="H100" s="6">
        <f t="shared" si="12"/>
        <v>2</v>
      </c>
      <c r="I100" s="7" t="str">
        <f t="shared" si="16"/>
        <v>442</v>
      </c>
      <c r="J100" s="8" t="str">
        <f t="shared" si="17"/>
        <v>Champions</v>
      </c>
    </row>
    <row r="101" spans="1:10">
      <c r="A101" s="5">
        <f>'Raw Data'!A101</f>
        <v>100</v>
      </c>
      <c r="B101" s="3" t="str">
        <f>'Raw Data'!B101</f>
        <v>Customer 100</v>
      </c>
      <c r="C101" s="5">
        <f>'Raw Data'!E101</f>
        <v>1</v>
      </c>
      <c r="D101" s="4">
        <f>'Raw Data'!F101</f>
        <v>10100</v>
      </c>
      <c r="E101" s="5">
        <f>'Raw Data'!H101</f>
        <v>30</v>
      </c>
      <c r="F101" s="6">
        <f t="shared" si="15"/>
        <v>4</v>
      </c>
      <c r="G101" s="6">
        <f t="shared" si="11"/>
        <v>1</v>
      </c>
      <c r="H101" s="6">
        <f t="shared" si="12"/>
        <v>2</v>
      </c>
      <c r="I101" s="7" t="str">
        <f t="shared" si="16"/>
        <v>412</v>
      </c>
      <c r="J101" s="8" t="str">
        <f t="shared" si="17"/>
        <v>Loyal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/>
  </sheetViews>
  <sheetFormatPr defaultRowHeight="14.4"/>
  <cols>
    <col min="1" max="1" width="15" customWidth="1"/>
    <col min="2" max="2" width="12" customWidth="1"/>
    <col min="3" max="4" width="15" customWidth="1"/>
    <col min="5" max="5" width="12" customWidth="1"/>
  </cols>
  <sheetData>
    <row r="1" spans="1:7" ht="30" customHeight="1">
      <c r="A1" s="32" t="s">
        <v>242</v>
      </c>
      <c r="B1" s="31"/>
      <c r="C1" s="31"/>
      <c r="D1" s="31"/>
      <c r="E1" s="31"/>
    </row>
    <row r="3" spans="1:7">
      <c r="A3" s="9" t="s">
        <v>243</v>
      </c>
      <c r="C3" s="9" t="s">
        <v>244</v>
      </c>
      <c r="E3" s="9" t="s">
        <v>245</v>
      </c>
      <c r="G3" s="9" t="s">
        <v>246</v>
      </c>
    </row>
    <row r="4" spans="1:7" ht="30" customHeight="1">
      <c r="A4" s="10">
        <f>COUNTA('RFM Calculations'!A2:A101)</f>
        <v>100</v>
      </c>
      <c r="C4" s="11">
        <f>SUM('RFM Calculations'!D2:D101)</f>
        <v>777000</v>
      </c>
      <c r="E4" s="11">
        <f>AVERAGE('RFM Calculations'!D2:D101)</f>
        <v>7770</v>
      </c>
      <c r="G4" s="12">
        <f>COUNTIF('RFM Calculations'!C2:C101,"&gt;1")/COUNTA('RFM Calculations'!C2:C101)</f>
        <v>0.79</v>
      </c>
    </row>
    <row r="6" spans="1:7" ht="22.05" customHeight="1">
      <c r="A6" s="30" t="s">
        <v>247</v>
      </c>
      <c r="B6" s="31"/>
      <c r="C6" s="31"/>
      <c r="D6" s="31"/>
      <c r="E6" s="31"/>
    </row>
    <row r="7" spans="1:7" ht="22.05" customHeight="1">
      <c r="A7" s="13" t="s">
        <v>241</v>
      </c>
      <c r="B7" s="13" t="s">
        <v>248</v>
      </c>
      <c r="C7" s="13" t="s">
        <v>249</v>
      </c>
      <c r="D7" s="13" t="s">
        <v>250</v>
      </c>
      <c r="E7" s="13" t="s">
        <v>251</v>
      </c>
    </row>
    <row r="8" spans="1:7" ht="22.05" customHeight="1">
      <c r="A8" s="14" t="s">
        <v>252</v>
      </c>
      <c r="B8" s="15">
        <f>COUNTIF('RFM Calculations'!J:J,"Champions")</f>
        <v>14</v>
      </c>
      <c r="C8" s="16">
        <f>SUMIF('RFM Calculations'!J:J,"Champions",'RFM Calculations'!D:D)</f>
        <v>152700</v>
      </c>
      <c r="D8" s="16">
        <f t="shared" ref="D8:D13" si="0">C8/B8</f>
        <v>10907.142857142857</v>
      </c>
      <c r="E8" s="17">
        <f t="shared" ref="E8:E13" si="1">C8/SUM($C$8:$C$13)</f>
        <v>0.19652509652509653</v>
      </c>
    </row>
    <row r="9" spans="1:7" ht="22.05" customHeight="1">
      <c r="A9" s="18" t="s">
        <v>253</v>
      </c>
      <c r="B9" s="15">
        <f>COUNTIF('RFM Calculations'!J:J,"Loyal")</f>
        <v>43</v>
      </c>
      <c r="C9" s="16">
        <f>SUMIF('RFM Calculations'!J:J,"Loyal",'RFM Calculations'!D:D)</f>
        <v>337200</v>
      </c>
      <c r="D9" s="16">
        <f t="shared" si="0"/>
        <v>7841.8604651162786</v>
      </c>
      <c r="E9" s="17">
        <f t="shared" si="1"/>
        <v>0.43397683397683395</v>
      </c>
    </row>
    <row r="10" spans="1:7" ht="22.05" customHeight="1">
      <c r="A10" s="19" t="s">
        <v>254</v>
      </c>
      <c r="B10" s="15">
        <f>COUNTIF('RFM Calculations'!J:J,"Potential")</f>
        <v>39</v>
      </c>
      <c r="C10" s="16">
        <f>SUMIF('RFM Calculations'!J:J,"Potential",'RFM Calculations'!D:D)</f>
        <v>271800</v>
      </c>
      <c r="D10" s="16">
        <f t="shared" si="0"/>
        <v>6969.2307692307695</v>
      </c>
      <c r="E10" s="17">
        <f t="shared" si="1"/>
        <v>0.34980694980694982</v>
      </c>
    </row>
    <row r="11" spans="1:7" ht="22.05" customHeight="1">
      <c r="A11" s="20" t="s">
        <v>255</v>
      </c>
      <c r="B11" s="15">
        <f>COUNTIF('RFM Calculations'!J:J,"At Risk")</f>
        <v>1</v>
      </c>
      <c r="C11" s="16">
        <f>SUMIF('RFM Calculations'!J:J,"At Risk",'RFM Calculations'!D:D)</f>
        <v>5200</v>
      </c>
      <c r="D11" s="16">
        <f t="shared" si="0"/>
        <v>5200</v>
      </c>
      <c r="E11" s="17">
        <f t="shared" si="1"/>
        <v>6.6924066924066924E-3</v>
      </c>
    </row>
    <row r="12" spans="1:7" ht="22.05" customHeight="1">
      <c r="A12" s="21" t="s">
        <v>256</v>
      </c>
      <c r="B12" s="15">
        <f>COUNTIF('RFM Calculations'!J:J,"Churned")</f>
        <v>2</v>
      </c>
      <c r="C12" s="16">
        <f>SUMIF('RFM Calculations'!J:J,"Churned",'RFM Calculations'!D:D)</f>
        <v>8000</v>
      </c>
      <c r="D12" s="16">
        <f t="shared" si="0"/>
        <v>4000</v>
      </c>
      <c r="E12" s="17">
        <f t="shared" si="1"/>
        <v>1.0296010296010296E-2</v>
      </c>
    </row>
    <row r="13" spans="1:7" ht="22.05" customHeight="1">
      <c r="A13" s="22" t="s">
        <v>257</v>
      </c>
      <c r="B13" s="15">
        <f>COUNTIF('RFM Calculations'!J:J,"Lost")</f>
        <v>1</v>
      </c>
      <c r="C13" s="16">
        <f>SUMIF('RFM Calculations'!J:J,"Lost",'RFM Calculations'!D:D)</f>
        <v>2100</v>
      </c>
      <c r="D13" s="16">
        <f t="shared" si="0"/>
        <v>2100</v>
      </c>
      <c r="E13" s="17">
        <f t="shared" si="1"/>
        <v>2.7027027027027029E-3</v>
      </c>
    </row>
    <row r="14" spans="1:7" ht="22.05" customHeight="1">
      <c r="A14" s="23" t="s">
        <v>258</v>
      </c>
      <c r="B14" s="23">
        <f>SUM(B8:B13)</f>
        <v>100</v>
      </c>
      <c r="C14" s="24">
        <f>SUM(C8:C13)</f>
        <v>777000</v>
      </c>
      <c r="E14" s="23" t="s">
        <v>259</v>
      </c>
    </row>
  </sheetData>
  <mergeCells count="2">
    <mergeCell ref="A6:E6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7"/>
  <sheetViews>
    <sheetView workbookViewId="0"/>
  </sheetViews>
  <sheetFormatPr defaultRowHeight="14.4"/>
  <cols>
    <col min="1" max="1" width="20" customWidth="1"/>
    <col min="2" max="4" width="25" customWidth="1"/>
  </cols>
  <sheetData>
    <row r="1" spans="1:4" ht="25.05" customHeight="1">
      <c r="A1" s="36" t="s">
        <v>260</v>
      </c>
      <c r="B1" s="31"/>
      <c r="C1" s="31"/>
      <c r="D1" s="31"/>
    </row>
    <row r="2" spans="1:4" ht="22.05" customHeight="1">
      <c r="A2" s="39" t="s">
        <v>252</v>
      </c>
      <c r="B2" s="31"/>
      <c r="C2" s="31"/>
      <c r="D2" s="31"/>
    </row>
    <row r="3" spans="1:4">
      <c r="A3" t="s">
        <v>261</v>
      </c>
      <c r="B3" s="25">
        <f>COUNTIF('RFM Calculations'!J:J,"Champions")</f>
        <v>14</v>
      </c>
    </row>
    <row r="4" spans="1:4">
      <c r="A4" t="s">
        <v>262</v>
      </c>
      <c r="B4" s="26">
        <f>SUMIF('RFM Calculations'!J:J,"Champions",'RFM Calculations'!D:D)</f>
        <v>152700</v>
      </c>
    </row>
    <row r="5" spans="1:4">
      <c r="A5" t="s">
        <v>263</v>
      </c>
      <c r="B5" s="31" t="s">
        <v>264</v>
      </c>
      <c r="C5" s="31"/>
      <c r="D5" s="31"/>
    </row>
    <row r="6" spans="1:4">
      <c r="A6" s="27" t="s">
        <v>265</v>
      </c>
    </row>
    <row r="7" spans="1:4">
      <c r="B7" s="31" t="s">
        <v>266</v>
      </c>
      <c r="C7" s="31"/>
      <c r="D7" s="31"/>
    </row>
    <row r="8" spans="1:4">
      <c r="B8" s="31" t="s">
        <v>267</v>
      </c>
      <c r="C8" s="31"/>
      <c r="D8" s="31"/>
    </row>
    <row r="9" spans="1:4">
      <c r="B9" s="31" t="s">
        <v>268</v>
      </c>
      <c r="C9" s="31"/>
      <c r="D9" s="31"/>
    </row>
    <row r="10" spans="1:4">
      <c r="B10" s="31" t="s">
        <v>269</v>
      </c>
      <c r="C10" s="31"/>
      <c r="D10" s="31"/>
    </row>
    <row r="11" spans="1:4">
      <c r="B11" s="31" t="s">
        <v>270</v>
      </c>
      <c r="C11" s="31"/>
      <c r="D11" s="31"/>
    </row>
    <row r="12" spans="1:4">
      <c r="A12" t="s">
        <v>271</v>
      </c>
      <c r="B12" s="31" t="s">
        <v>272</v>
      </c>
      <c r="C12" s="31"/>
      <c r="D12" s="31"/>
    </row>
    <row r="13" spans="1:4">
      <c r="A13" t="s">
        <v>273</v>
      </c>
      <c r="B13" s="31" t="s">
        <v>274</v>
      </c>
      <c r="C13" s="31"/>
      <c r="D13" s="31"/>
    </row>
    <row r="15" spans="1:4" ht="22.05" customHeight="1">
      <c r="A15" s="35" t="s">
        <v>253</v>
      </c>
      <c r="B15" s="31"/>
      <c r="C15" s="31"/>
      <c r="D15" s="31"/>
    </row>
    <row r="16" spans="1:4">
      <c r="A16" t="s">
        <v>261</v>
      </c>
      <c r="B16" s="25">
        <f>COUNTIF('RFM Calculations'!J:J,"Loyal")</f>
        <v>43</v>
      </c>
    </row>
    <row r="17" spans="1:4">
      <c r="A17" t="s">
        <v>262</v>
      </c>
      <c r="B17" s="26">
        <f>SUMIF('RFM Calculations'!J:J,"Loyal",'RFM Calculations'!D:D)</f>
        <v>337200</v>
      </c>
    </row>
    <row r="18" spans="1:4">
      <c r="A18" t="s">
        <v>263</v>
      </c>
      <c r="B18" s="31" t="s">
        <v>275</v>
      </c>
      <c r="C18" s="31"/>
      <c r="D18" s="31"/>
    </row>
    <row r="19" spans="1:4">
      <c r="A19" s="27" t="s">
        <v>265</v>
      </c>
    </row>
    <row r="20" spans="1:4">
      <c r="B20" s="31" t="s">
        <v>276</v>
      </c>
      <c r="C20" s="31"/>
      <c r="D20" s="31"/>
    </row>
    <row r="21" spans="1:4">
      <c r="B21" s="31" t="s">
        <v>277</v>
      </c>
      <c r="C21" s="31"/>
      <c r="D21" s="31"/>
    </row>
    <row r="22" spans="1:4">
      <c r="B22" s="31" t="s">
        <v>278</v>
      </c>
      <c r="C22" s="31"/>
      <c r="D22" s="31"/>
    </row>
    <row r="23" spans="1:4">
      <c r="B23" s="31" t="s">
        <v>279</v>
      </c>
      <c r="C23" s="31"/>
      <c r="D23" s="31"/>
    </row>
    <row r="24" spans="1:4">
      <c r="B24" s="31" t="s">
        <v>280</v>
      </c>
      <c r="C24" s="31"/>
      <c r="D24" s="31"/>
    </row>
    <row r="25" spans="1:4">
      <c r="A25" t="s">
        <v>271</v>
      </c>
      <c r="B25" s="31" t="s">
        <v>281</v>
      </c>
      <c r="C25" s="31"/>
      <c r="D25" s="31"/>
    </row>
    <row r="26" spans="1:4">
      <c r="A26" t="s">
        <v>273</v>
      </c>
      <c r="B26" s="31" t="s">
        <v>282</v>
      </c>
      <c r="C26" s="31"/>
      <c r="D26" s="31"/>
    </row>
    <row r="28" spans="1:4" ht="22.05" customHeight="1">
      <c r="A28" s="33" t="s">
        <v>254</v>
      </c>
      <c r="B28" s="31"/>
      <c r="C28" s="31"/>
      <c r="D28" s="31"/>
    </row>
    <row r="29" spans="1:4">
      <c r="A29" t="s">
        <v>261</v>
      </c>
      <c r="B29" s="25">
        <f>COUNTIF('RFM Calculations'!J:J,"Potential")</f>
        <v>39</v>
      </c>
    </row>
    <row r="30" spans="1:4">
      <c r="A30" t="s">
        <v>262</v>
      </c>
      <c r="B30" s="26">
        <f>SUMIF('RFM Calculations'!J:J,"Potential",'RFM Calculations'!D:D)</f>
        <v>271800</v>
      </c>
    </row>
    <row r="31" spans="1:4">
      <c r="A31" t="s">
        <v>263</v>
      </c>
      <c r="B31" s="31" t="s">
        <v>283</v>
      </c>
      <c r="C31" s="31"/>
      <c r="D31" s="31"/>
    </row>
    <row r="32" spans="1:4">
      <c r="A32" s="27" t="s">
        <v>265</v>
      </c>
    </row>
    <row r="33" spans="1:4">
      <c r="B33" s="31" t="s">
        <v>284</v>
      </c>
      <c r="C33" s="31"/>
      <c r="D33" s="31"/>
    </row>
    <row r="34" spans="1:4">
      <c r="B34" s="31" t="s">
        <v>285</v>
      </c>
      <c r="C34" s="31"/>
      <c r="D34" s="31"/>
    </row>
    <row r="35" spans="1:4">
      <c r="B35" s="31" t="s">
        <v>286</v>
      </c>
      <c r="C35" s="31"/>
      <c r="D35" s="31"/>
    </row>
    <row r="36" spans="1:4">
      <c r="B36" s="31" t="s">
        <v>287</v>
      </c>
      <c r="C36" s="31"/>
      <c r="D36" s="31"/>
    </row>
    <row r="37" spans="1:4">
      <c r="B37" s="31" t="s">
        <v>288</v>
      </c>
      <c r="C37" s="31"/>
      <c r="D37" s="31"/>
    </row>
    <row r="38" spans="1:4">
      <c r="A38" t="s">
        <v>271</v>
      </c>
      <c r="B38" s="31" t="s">
        <v>289</v>
      </c>
      <c r="C38" s="31"/>
      <c r="D38" s="31"/>
    </row>
    <row r="39" spans="1:4">
      <c r="A39" t="s">
        <v>273</v>
      </c>
      <c r="B39" s="31" t="s">
        <v>290</v>
      </c>
      <c r="C39" s="31"/>
      <c r="D39" s="31"/>
    </row>
    <row r="41" spans="1:4" ht="22.05" customHeight="1">
      <c r="A41" s="38" t="s">
        <v>255</v>
      </c>
      <c r="B41" s="31"/>
      <c r="C41" s="31"/>
      <c r="D41" s="31"/>
    </row>
    <row r="42" spans="1:4">
      <c r="A42" t="s">
        <v>261</v>
      </c>
      <c r="B42" s="25">
        <f>COUNTIF('RFM Calculations'!J:J,"At Risk")</f>
        <v>1</v>
      </c>
    </row>
    <row r="43" spans="1:4">
      <c r="A43" t="s">
        <v>262</v>
      </c>
      <c r="B43" s="26">
        <f>SUMIF('RFM Calculations'!J:J,"At Risk",'RFM Calculations'!D:D)</f>
        <v>5200</v>
      </c>
    </row>
    <row r="44" spans="1:4">
      <c r="A44" t="s">
        <v>263</v>
      </c>
      <c r="B44" s="31" t="s">
        <v>291</v>
      </c>
      <c r="C44" s="31"/>
      <c r="D44" s="31"/>
    </row>
    <row r="45" spans="1:4">
      <c r="A45" s="27" t="s">
        <v>265</v>
      </c>
    </row>
    <row r="46" spans="1:4">
      <c r="B46" s="31" t="s">
        <v>292</v>
      </c>
      <c r="C46" s="31"/>
      <c r="D46" s="31"/>
    </row>
    <row r="47" spans="1:4">
      <c r="B47" s="31" t="s">
        <v>293</v>
      </c>
      <c r="C47" s="31"/>
      <c r="D47" s="31"/>
    </row>
    <row r="48" spans="1:4">
      <c r="B48" s="31" t="s">
        <v>294</v>
      </c>
      <c r="C48" s="31"/>
      <c r="D48" s="31"/>
    </row>
    <row r="49" spans="1:4">
      <c r="B49" s="31" t="s">
        <v>295</v>
      </c>
      <c r="C49" s="31"/>
      <c r="D49" s="31"/>
    </row>
    <row r="50" spans="1:4">
      <c r="B50" s="31" t="s">
        <v>296</v>
      </c>
      <c r="C50" s="31"/>
      <c r="D50" s="31"/>
    </row>
    <row r="51" spans="1:4">
      <c r="A51" t="s">
        <v>271</v>
      </c>
      <c r="B51" s="31" t="s">
        <v>289</v>
      </c>
      <c r="C51" s="31"/>
      <c r="D51" s="31"/>
    </row>
    <row r="52" spans="1:4">
      <c r="A52" t="s">
        <v>273</v>
      </c>
      <c r="B52" s="31" t="s">
        <v>297</v>
      </c>
      <c r="C52" s="31"/>
      <c r="D52" s="31"/>
    </row>
    <row r="54" spans="1:4" ht="22.05" customHeight="1">
      <c r="A54" s="37" t="s">
        <v>256</v>
      </c>
      <c r="B54" s="31"/>
      <c r="C54" s="31"/>
      <c r="D54" s="31"/>
    </row>
    <row r="55" spans="1:4">
      <c r="A55" t="s">
        <v>261</v>
      </c>
      <c r="B55" s="25">
        <f>COUNTIF('RFM Calculations'!J:J,"Churned")</f>
        <v>2</v>
      </c>
    </row>
    <row r="56" spans="1:4">
      <c r="A56" t="s">
        <v>262</v>
      </c>
      <c r="B56" s="26">
        <f>SUMIF('RFM Calculations'!J:J,"Churned",'RFM Calculations'!D:D)</f>
        <v>8000</v>
      </c>
    </row>
    <row r="57" spans="1:4">
      <c r="A57" t="s">
        <v>263</v>
      </c>
      <c r="B57" s="31" t="s">
        <v>298</v>
      </c>
      <c r="C57" s="31"/>
      <c r="D57" s="31"/>
    </row>
    <row r="58" spans="1:4">
      <c r="A58" s="27" t="s">
        <v>265</v>
      </c>
    </row>
    <row r="59" spans="1:4">
      <c r="B59" s="31" t="s">
        <v>299</v>
      </c>
      <c r="C59" s="31"/>
      <c r="D59" s="31"/>
    </row>
    <row r="60" spans="1:4">
      <c r="B60" s="31" t="s">
        <v>300</v>
      </c>
      <c r="C60" s="31"/>
      <c r="D60" s="31"/>
    </row>
    <row r="61" spans="1:4">
      <c r="B61" s="31" t="s">
        <v>301</v>
      </c>
      <c r="C61" s="31"/>
      <c r="D61" s="31"/>
    </row>
    <row r="62" spans="1:4">
      <c r="B62" s="31" t="s">
        <v>302</v>
      </c>
      <c r="C62" s="31"/>
      <c r="D62" s="31"/>
    </row>
    <row r="63" spans="1:4">
      <c r="B63" s="31" t="s">
        <v>303</v>
      </c>
      <c r="C63" s="31"/>
      <c r="D63" s="31"/>
    </row>
    <row r="64" spans="1:4">
      <c r="A64" t="s">
        <v>271</v>
      </c>
      <c r="B64" s="31" t="s">
        <v>304</v>
      </c>
      <c r="C64" s="31"/>
      <c r="D64" s="31"/>
    </row>
    <row r="65" spans="1:4">
      <c r="A65" t="s">
        <v>273</v>
      </c>
      <c r="B65" s="31" t="s">
        <v>305</v>
      </c>
      <c r="C65" s="31"/>
      <c r="D65" s="31"/>
    </row>
    <row r="67" spans="1:4" ht="22.05" customHeight="1">
      <c r="A67" s="34" t="s">
        <v>257</v>
      </c>
      <c r="B67" s="31"/>
      <c r="C67" s="31"/>
      <c r="D67" s="31"/>
    </row>
    <row r="68" spans="1:4">
      <c r="A68" t="s">
        <v>261</v>
      </c>
      <c r="B68" s="25">
        <f>COUNTIF('RFM Calculations'!J:J,"Lost")</f>
        <v>1</v>
      </c>
    </row>
    <row r="69" spans="1:4">
      <c r="A69" t="s">
        <v>262</v>
      </c>
      <c r="B69" s="26">
        <f>SUMIF('RFM Calculations'!J:J,"Lost",'RFM Calculations'!D:D)</f>
        <v>2100</v>
      </c>
    </row>
    <row r="70" spans="1:4">
      <c r="A70" t="s">
        <v>263</v>
      </c>
      <c r="B70" s="31" t="s">
        <v>306</v>
      </c>
      <c r="C70" s="31"/>
      <c r="D70" s="31"/>
    </row>
    <row r="71" spans="1:4">
      <c r="A71" s="27" t="s">
        <v>265</v>
      </c>
    </row>
    <row r="72" spans="1:4">
      <c r="B72" s="31" t="s">
        <v>307</v>
      </c>
      <c r="C72" s="31"/>
      <c r="D72" s="31"/>
    </row>
    <row r="73" spans="1:4">
      <c r="B73" s="31" t="s">
        <v>308</v>
      </c>
      <c r="C73" s="31"/>
      <c r="D73" s="31"/>
    </row>
    <row r="74" spans="1:4">
      <c r="B74" s="31" t="s">
        <v>309</v>
      </c>
      <c r="C74" s="31"/>
      <c r="D74" s="31"/>
    </row>
    <row r="75" spans="1:4">
      <c r="B75" s="31" t="s">
        <v>310</v>
      </c>
      <c r="C75" s="31"/>
      <c r="D75" s="31"/>
    </row>
    <row r="76" spans="1:4">
      <c r="A76" t="s">
        <v>271</v>
      </c>
      <c r="B76" s="31" t="s">
        <v>311</v>
      </c>
      <c r="C76" s="31"/>
      <c r="D76" s="31"/>
    </row>
    <row r="77" spans="1:4">
      <c r="A77" t="s">
        <v>273</v>
      </c>
      <c r="B77" s="31" t="s">
        <v>312</v>
      </c>
      <c r="C77" s="31"/>
      <c r="D77" s="31"/>
    </row>
  </sheetData>
  <mergeCells count="54">
    <mergeCell ref="A2:D2"/>
    <mergeCell ref="B70:D70"/>
    <mergeCell ref="B12:D12"/>
    <mergeCell ref="B39:D39"/>
    <mergeCell ref="B48:D48"/>
    <mergeCell ref="B77:D77"/>
    <mergeCell ref="B22:D22"/>
    <mergeCell ref="B18:D18"/>
    <mergeCell ref="B52:D52"/>
    <mergeCell ref="B21:D21"/>
    <mergeCell ref="A1:D1"/>
    <mergeCell ref="B5:D5"/>
    <mergeCell ref="B36:D36"/>
    <mergeCell ref="B76:D76"/>
    <mergeCell ref="B63:D63"/>
    <mergeCell ref="B35:D35"/>
    <mergeCell ref="B50:D50"/>
    <mergeCell ref="A54:D54"/>
    <mergeCell ref="B26:D26"/>
    <mergeCell ref="A41:D41"/>
    <mergeCell ref="B62:D62"/>
    <mergeCell ref="B75:D75"/>
    <mergeCell ref="B7:D7"/>
    <mergeCell ref="B25:D25"/>
    <mergeCell ref="B47:D47"/>
    <mergeCell ref="B72:D72"/>
    <mergeCell ref="B74:D74"/>
    <mergeCell ref="B65:D65"/>
    <mergeCell ref="B24:D24"/>
    <mergeCell ref="B51:D51"/>
    <mergeCell ref="B20:D20"/>
    <mergeCell ref="B64:D64"/>
    <mergeCell ref="B33:D33"/>
    <mergeCell ref="B59:D59"/>
    <mergeCell ref="B31:D31"/>
    <mergeCell ref="B46:D46"/>
    <mergeCell ref="B8:D8"/>
    <mergeCell ref="B73:D73"/>
    <mergeCell ref="B13:D13"/>
    <mergeCell ref="B44:D44"/>
    <mergeCell ref="A28:D28"/>
    <mergeCell ref="B38:D38"/>
    <mergeCell ref="B34:D34"/>
    <mergeCell ref="B10:D10"/>
    <mergeCell ref="A67:D67"/>
    <mergeCell ref="B37:D37"/>
    <mergeCell ref="B49:D49"/>
    <mergeCell ref="B9:D9"/>
    <mergeCell ref="A15:D15"/>
    <mergeCell ref="B11:D11"/>
    <mergeCell ref="B60:D60"/>
    <mergeCell ref="B23:D23"/>
    <mergeCell ref="B61:D61"/>
    <mergeCell ref="B57:D5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/>
  </sheetViews>
  <sheetFormatPr defaultRowHeight="14.4"/>
  <cols>
    <col min="1" max="2" width="15" customWidth="1"/>
    <col min="3" max="3" width="25" customWidth="1"/>
    <col min="4" max="4" width="65" customWidth="1"/>
  </cols>
  <sheetData>
    <row r="1" spans="1:4" ht="25.05" customHeight="1">
      <c r="A1" s="36" t="s">
        <v>313</v>
      </c>
      <c r="B1" s="31"/>
      <c r="C1" s="31"/>
      <c r="D1" s="31"/>
    </row>
    <row r="3" spans="1:4">
      <c r="A3" s="28" t="s">
        <v>314</v>
      </c>
      <c r="B3" s="28" t="s">
        <v>315</v>
      </c>
      <c r="C3" s="28" t="s">
        <v>316</v>
      </c>
      <c r="D3" s="28" t="s">
        <v>317</v>
      </c>
    </row>
    <row r="4" spans="1:4">
      <c r="A4" s="3" t="s">
        <v>318</v>
      </c>
      <c r="B4" s="3" t="s">
        <v>319</v>
      </c>
      <c r="C4" s="3" t="s">
        <v>320</v>
      </c>
      <c r="D4" s="29">
        <f>IF(E2&lt;=30,4,IF(E2&lt;=90,3,IF(E2&lt;=180,2,1)))</f>
        <v>4</v>
      </c>
    </row>
    <row r="5" spans="1:4">
      <c r="A5" s="3" t="s">
        <v>318</v>
      </c>
      <c r="B5" s="3" t="s">
        <v>321</v>
      </c>
      <c r="C5" s="3" t="s">
        <v>322</v>
      </c>
      <c r="D5" s="29">
        <f>IF(C2=1,1,IF(C2=2,2,IF(C2=3,3,4)))</f>
        <v>4</v>
      </c>
    </row>
    <row r="6" spans="1:4">
      <c r="A6" s="3" t="s">
        <v>318</v>
      </c>
      <c r="B6" s="3" t="s">
        <v>323</v>
      </c>
      <c r="C6" s="3" t="s">
        <v>324</v>
      </c>
      <c r="D6" s="29">
        <f>IF(D2&lt;5000,1,IF(D2&lt;15000,2,IF(D2&lt;30000,3,4)))</f>
        <v>1</v>
      </c>
    </row>
    <row r="7" spans="1:4">
      <c r="A7" s="3" t="s">
        <v>318</v>
      </c>
      <c r="B7" s="3" t="s">
        <v>325</v>
      </c>
      <c r="C7" s="3" t="s">
        <v>240</v>
      </c>
      <c r="D7" s="29" t="str">
        <f>CONCATENATE(F2,G2,H2)</f>
        <v/>
      </c>
    </row>
    <row r="8" spans="1:4">
      <c r="A8" s="3" t="s">
        <v>318</v>
      </c>
      <c r="B8" s="3" t="s">
        <v>326</v>
      </c>
      <c r="C8" s="3" t="s">
        <v>241</v>
      </c>
      <c r="D8" s="29"/>
    </row>
    <row r="9" spans="1:4">
      <c r="A9" s="3" t="s">
        <v>327</v>
      </c>
      <c r="B9" s="3" t="s">
        <v>328</v>
      </c>
      <c r="C9" s="3" t="s">
        <v>243</v>
      </c>
      <c r="D9" s="29"/>
    </row>
    <row r="10" spans="1:4">
      <c r="A10" s="3" t="s">
        <v>327</v>
      </c>
      <c r="B10" s="3" t="s">
        <v>329</v>
      </c>
      <c r="C10" s="3" t="s">
        <v>244</v>
      </c>
      <c r="D10" s="29"/>
    </row>
    <row r="11" spans="1:4">
      <c r="A11" s="3" t="s">
        <v>327</v>
      </c>
      <c r="B11" s="3" t="s">
        <v>330</v>
      </c>
      <c r="C11" s="3" t="s">
        <v>245</v>
      </c>
      <c r="D11" s="29"/>
    </row>
    <row r="12" spans="1:4">
      <c r="A12" s="3" t="s">
        <v>327</v>
      </c>
      <c r="B12" s="3" t="s">
        <v>331</v>
      </c>
      <c r="C12" s="3" t="s">
        <v>246</v>
      </c>
      <c r="D12" s="29"/>
    </row>
    <row r="13" spans="1:4">
      <c r="A13" s="3" t="s">
        <v>327</v>
      </c>
      <c r="B13" s="3" t="s">
        <v>332</v>
      </c>
      <c r="C13" s="3" t="s">
        <v>333</v>
      </c>
      <c r="D13" s="29"/>
    </row>
    <row r="14" spans="1:4">
      <c r="A14" s="3" t="s">
        <v>327</v>
      </c>
      <c r="B14" s="3" t="s">
        <v>334</v>
      </c>
      <c r="C14" s="3" t="s">
        <v>335</v>
      </c>
      <c r="D14" s="29"/>
    </row>
    <row r="15" spans="1:4">
      <c r="A15" s="3" t="s">
        <v>327</v>
      </c>
      <c r="B15" s="3" t="s">
        <v>336</v>
      </c>
      <c r="C15" s="3" t="s">
        <v>250</v>
      </c>
      <c r="D15" s="29"/>
    </row>
    <row r="16" spans="1:4">
      <c r="A16" s="3" t="s">
        <v>327</v>
      </c>
      <c r="B16" s="3" t="s">
        <v>337</v>
      </c>
      <c r="C16" s="3" t="s">
        <v>338</v>
      </c>
      <c r="D16" s="29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RFM Calculations</vt:lpstr>
      <vt:lpstr>Dashboard</vt:lpstr>
      <vt:lpstr>Recommendations</vt:lpstr>
      <vt:lpstr>Formulas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prajapti</cp:lastModifiedBy>
  <dcterms:created xsi:type="dcterms:W3CDTF">2026-08-16T15:19:29Z</dcterms:created>
  <dcterms:modified xsi:type="dcterms:W3CDTF">2026-08-18T15:38:36Z</dcterms:modified>
</cp:coreProperties>
</file>