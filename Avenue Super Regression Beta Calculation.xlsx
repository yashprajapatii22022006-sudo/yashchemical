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aebfcc23394406/Desktop/project 2/"/>
    </mc:Choice>
  </mc:AlternateContent>
  <xr:revisionPtr revIDLastSave="0" documentId="8_{A2520A3D-9808-4A22-91E6-108223459D1E}" xr6:coauthVersionLast="47" xr6:coauthVersionMax="47" xr10:uidLastSave="{00000000-0000-0000-0000-000000000000}"/>
  <bookViews>
    <workbookView xWindow="-108" yWindow="-108" windowWidth="23256" windowHeight="13896" xr2:uid="{6F206244-4862-46D4-94EA-EDD245946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0" i="1" l="1"/>
  <c r="C110" i="1"/>
  <c r="G109" i="1"/>
  <c r="C109" i="1"/>
  <c r="G108" i="1"/>
  <c r="C108" i="1"/>
  <c r="G107" i="1"/>
  <c r="C107" i="1"/>
  <c r="G106" i="1"/>
  <c r="C106" i="1"/>
  <c r="G105" i="1"/>
  <c r="C105" i="1"/>
  <c r="G104" i="1"/>
  <c r="C104" i="1"/>
  <c r="G103" i="1"/>
  <c r="C103" i="1"/>
  <c r="G102" i="1"/>
  <c r="C102" i="1"/>
  <c r="G101" i="1"/>
  <c r="C101" i="1"/>
  <c r="G100" i="1"/>
  <c r="C100" i="1"/>
  <c r="G99" i="1"/>
  <c r="C99" i="1"/>
  <c r="G98" i="1"/>
  <c r="C98" i="1"/>
  <c r="G97" i="1"/>
  <c r="C97" i="1"/>
  <c r="G96" i="1"/>
  <c r="C96" i="1"/>
  <c r="G95" i="1"/>
  <c r="C95" i="1"/>
  <c r="G94" i="1"/>
  <c r="C94" i="1"/>
  <c r="G93" i="1"/>
  <c r="C93" i="1"/>
  <c r="G92" i="1"/>
  <c r="C92" i="1"/>
  <c r="G91" i="1"/>
  <c r="C91" i="1"/>
  <c r="G90" i="1"/>
  <c r="C90" i="1"/>
  <c r="G89" i="1"/>
  <c r="C89" i="1"/>
  <c r="G88" i="1"/>
  <c r="C88" i="1"/>
  <c r="G87" i="1"/>
  <c r="C87" i="1"/>
  <c r="G86" i="1"/>
  <c r="C86" i="1"/>
  <c r="G85" i="1"/>
  <c r="C85" i="1"/>
  <c r="G84" i="1"/>
  <c r="C84" i="1"/>
  <c r="G83" i="1"/>
  <c r="C83" i="1"/>
  <c r="G82" i="1"/>
  <c r="C82" i="1"/>
  <c r="G81" i="1"/>
  <c r="C81" i="1"/>
  <c r="G80" i="1"/>
  <c r="C80" i="1"/>
  <c r="G79" i="1"/>
  <c r="C79" i="1"/>
  <c r="G78" i="1"/>
  <c r="C78" i="1"/>
  <c r="G77" i="1"/>
  <c r="C77" i="1"/>
  <c r="G76" i="1"/>
  <c r="C76" i="1"/>
  <c r="G75" i="1"/>
  <c r="C75" i="1"/>
  <c r="G74" i="1"/>
  <c r="C74" i="1"/>
  <c r="G73" i="1"/>
  <c r="C73" i="1"/>
  <c r="G72" i="1"/>
  <c r="C72" i="1"/>
  <c r="G71" i="1"/>
  <c r="C71" i="1"/>
  <c r="G70" i="1"/>
  <c r="C70" i="1"/>
  <c r="G69" i="1"/>
  <c r="C69" i="1"/>
  <c r="G68" i="1"/>
  <c r="C68" i="1"/>
  <c r="G67" i="1"/>
  <c r="C67" i="1"/>
  <c r="G66" i="1"/>
  <c r="C66" i="1"/>
  <c r="G65" i="1"/>
  <c r="C65" i="1"/>
  <c r="G64" i="1"/>
  <c r="C64" i="1"/>
  <c r="G63" i="1"/>
  <c r="C63" i="1"/>
  <c r="G62" i="1"/>
  <c r="C62" i="1"/>
  <c r="G61" i="1"/>
  <c r="C61" i="1"/>
  <c r="G60" i="1"/>
  <c r="C60" i="1"/>
  <c r="G59" i="1"/>
  <c r="C59" i="1"/>
  <c r="G58" i="1"/>
  <c r="C58" i="1"/>
  <c r="G57" i="1"/>
  <c r="C57" i="1"/>
  <c r="G56" i="1"/>
  <c r="C56" i="1"/>
  <c r="G55" i="1"/>
  <c r="C55" i="1"/>
  <c r="G54" i="1"/>
  <c r="C54" i="1"/>
  <c r="G53" i="1"/>
  <c r="C53" i="1"/>
  <c r="G52" i="1"/>
  <c r="C52" i="1"/>
  <c r="G51" i="1"/>
  <c r="C51" i="1"/>
  <c r="G50" i="1"/>
  <c r="C50" i="1"/>
  <c r="G49" i="1"/>
  <c r="C49" i="1"/>
  <c r="G48" i="1"/>
  <c r="C48" i="1"/>
  <c r="G47" i="1"/>
  <c r="C47" i="1"/>
  <c r="G46" i="1"/>
  <c r="C46" i="1"/>
  <c r="G45" i="1"/>
  <c r="C45" i="1"/>
  <c r="G44" i="1"/>
  <c r="C44" i="1"/>
  <c r="G43" i="1"/>
  <c r="C43" i="1"/>
  <c r="G42" i="1"/>
  <c r="C42" i="1"/>
  <c r="G41" i="1"/>
  <c r="C41" i="1"/>
  <c r="G40" i="1"/>
  <c r="C40" i="1"/>
  <c r="G39" i="1"/>
  <c r="C39" i="1"/>
  <c r="G38" i="1"/>
  <c r="C38" i="1"/>
  <c r="G37" i="1"/>
  <c r="C37" i="1"/>
  <c r="G36" i="1"/>
  <c r="C36" i="1"/>
  <c r="G35" i="1"/>
  <c r="C35" i="1"/>
  <c r="G34" i="1"/>
  <c r="C34" i="1"/>
  <c r="G33" i="1"/>
  <c r="C33" i="1"/>
  <c r="G32" i="1"/>
  <c r="C32" i="1"/>
  <c r="G31" i="1"/>
  <c r="C31" i="1"/>
  <c r="G30" i="1"/>
  <c r="C30" i="1"/>
  <c r="G29" i="1"/>
  <c r="C29" i="1"/>
  <c r="G28" i="1"/>
  <c r="C28" i="1"/>
  <c r="G27" i="1"/>
  <c r="C27" i="1"/>
  <c r="G26" i="1"/>
  <c r="C26" i="1"/>
  <c r="G25" i="1"/>
  <c r="C25" i="1"/>
  <c r="G24" i="1"/>
  <c r="C24" i="1"/>
  <c r="G23" i="1"/>
  <c r="C23" i="1"/>
  <c r="G22" i="1"/>
  <c r="C22" i="1"/>
  <c r="G21" i="1"/>
  <c r="C21" i="1"/>
  <c r="G20" i="1"/>
  <c r="C20" i="1"/>
  <c r="G19" i="1"/>
  <c r="C19" i="1"/>
  <c r="G18" i="1"/>
  <c r="C18" i="1"/>
  <c r="G17" i="1"/>
  <c r="C17" i="1"/>
  <c r="G16" i="1"/>
  <c r="C16" i="1"/>
  <c r="G15" i="1"/>
  <c r="C15" i="1"/>
  <c r="G14" i="1"/>
  <c r="C14" i="1"/>
  <c r="G13" i="1"/>
  <c r="C13" i="1"/>
  <c r="G12" i="1"/>
  <c r="C12" i="1"/>
  <c r="G11" i="1"/>
  <c r="C11" i="1"/>
  <c r="G10" i="1"/>
  <c r="C10" i="1"/>
  <c r="G9" i="1"/>
  <c r="C9" i="1"/>
  <c r="G8" i="1"/>
  <c r="C8" i="1"/>
  <c r="G7" i="1"/>
  <c r="C7" i="1"/>
  <c r="K6" i="1"/>
  <c r="O7" i="1" s="1"/>
  <c r="O13" i="1" s="1"/>
</calcChain>
</file>

<file path=xl/sharedStrings.xml><?xml version="1.0" encoding="utf-8"?>
<sst xmlns="http://schemas.openxmlformats.org/spreadsheetml/2006/main" count="107" uniqueCount="105">
  <si>
    <t>Regression Beta</t>
  </si>
  <si>
    <t>Avenue Supermart Weekly Returns</t>
  </si>
  <si>
    <t>NIFTY Returns</t>
  </si>
  <si>
    <t>Date</t>
  </si>
  <si>
    <t>Closing Price</t>
  </si>
  <si>
    <t>Weekely Return</t>
  </si>
  <si>
    <t>Return</t>
  </si>
  <si>
    <t>Beta Drifting</t>
  </si>
  <si>
    <t>2/22/2021</t>
  </si>
  <si>
    <t>beta 3</t>
  </si>
  <si>
    <t>Levered Raw beta</t>
  </si>
  <si>
    <t>Raw Beta Weight</t>
  </si>
  <si>
    <t>3/15/2021</t>
  </si>
  <si>
    <t>3/22/2021</t>
  </si>
  <si>
    <t>Market Beta</t>
  </si>
  <si>
    <t>3/29/2021</t>
  </si>
  <si>
    <t>Market Beta Weight</t>
  </si>
  <si>
    <t>SUMMARY OUTPUT</t>
  </si>
  <si>
    <t>Adjusted Beta</t>
  </si>
  <si>
    <t>4/19/2021</t>
  </si>
  <si>
    <t>Regression Statistics</t>
  </si>
  <si>
    <t>4/26/2021</t>
  </si>
  <si>
    <t>Multiple R</t>
  </si>
  <si>
    <t>R Square</t>
  </si>
  <si>
    <t>Adjusted R Square</t>
  </si>
  <si>
    <t>5/17/2021</t>
  </si>
  <si>
    <t>Standard Error</t>
  </si>
  <si>
    <t>5/24/2021</t>
  </si>
  <si>
    <t>Observations</t>
  </si>
  <si>
    <t>5/31/2021</t>
  </si>
  <si>
    <t>ANOVA</t>
  </si>
  <si>
    <t>6/14/2021</t>
  </si>
  <si>
    <t>df</t>
  </si>
  <si>
    <t>SS</t>
  </si>
  <si>
    <t>MS</t>
  </si>
  <si>
    <t>F</t>
  </si>
  <si>
    <t>Significance F</t>
  </si>
  <si>
    <t>6/21/2021</t>
  </si>
  <si>
    <t>Regression</t>
  </si>
  <si>
    <t>6/28/2021</t>
  </si>
  <si>
    <t>Residual</t>
  </si>
  <si>
    <t>Total</t>
  </si>
  <si>
    <t>7/19/2021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</si>
  <si>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</si>
  <si>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</si>
  <si>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</si>
  <si>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</si>
  <si>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</si>
  <si>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</si>
  <si>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</si>
  <si>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7/26/2021</t>
  </si>
  <si>
    <t>Intercept</t>
  </si>
  <si>
    <t>X Variable 1</t>
  </si>
  <si>
    <t>8/16/2021</t>
  </si>
  <si>
    <t>8/23/2021</t>
  </si>
  <si>
    <t>8/30/2021</t>
  </si>
  <si>
    <t>9/13/2021</t>
  </si>
  <si>
    <t>9/20/2021</t>
  </si>
  <si>
    <t>9/27/2021</t>
  </si>
  <si>
    <t>10/18/2021</t>
  </si>
  <si>
    <t>10/25/2021</t>
  </si>
  <si>
    <t>11/15/2021</t>
  </si>
  <si>
    <t>11/22/2021</t>
  </si>
  <si>
    <t>11/29/2021</t>
  </si>
  <si>
    <t>12/13/2021</t>
  </si>
  <si>
    <t>12/20/2021</t>
  </si>
  <si>
    <t>12/27/2021</t>
  </si>
  <si>
    <t>1/17/2022</t>
  </si>
  <si>
    <t>1/24/2022</t>
  </si>
  <si>
    <t>1/31/2022</t>
  </si>
  <si>
    <t>2/14/2022</t>
  </si>
  <si>
    <t>2/21/2022</t>
  </si>
  <si>
    <t>2/28/2022</t>
  </si>
  <si>
    <t>3/14/2022</t>
  </si>
  <si>
    <t>3/21/2022</t>
  </si>
  <si>
    <t>3/28/2022</t>
  </si>
  <si>
    <t>4/18/2022</t>
  </si>
  <si>
    <t>4/25/2022</t>
  </si>
  <si>
    <t>5/16/2022</t>
  </si>
  <si>
    <t>5/23/2022</t>
  </si>
  <si>
    <t>5/30/2022</t>
  </si>
  <si>
    <t>6/13/2022</t>
  </si>
  <si>
    <t>6/20/2022</t>
  </si>
  <si>
    <t>6/27/2022</t>
  </si>
  <si>
    <t>7/18/2022</t>
  </si>
  <si>
    <t>7/25/2022</t>
  </si>
  <si>
    <t>8/15/2022</t>
  </si>
  <si>
    <t>8/22/2022</t>
  </si>
  <si>
    <t>8/29/2022</t>
  </si>
  <si>
    <t>9/19/2022</t>
  </si>
  <si>
    <t>9/26/2022</t>
  </si>
  <si>
    <t>10/17/2022</t>
  </si>
  <si>
    <t>10/24/2022</t>
  </si>
  <si>
    <t>10/31/2022</t>
  </si>
  <si>
    <t>11/14/2022</t>
  </si>
  <si>
    <t>11/21/2022</t>
  </si>
  <si>
    <t>11/28/2022</t>
  </si>
  <si>
    <t>12/19/2022</t>
  </si>
  <si>
    <t>12/26/2022</t>
  </si>
  <si>
    <t>1/16/2023</t>
  </si>
  <si>
    <t>1/23/2023</t>
  </si>
  <si>
    <t>1/30/2023</t>
  </si>
  <si>
    <t>2/13/2023</t>
  </si>
  <si>
    <t>2/20/2023</t>
  </si>
  <si>
    <t>Avenue Super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</si>
</sst>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4E7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1E4E79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1E4E79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wrapText="1"/>
    </xf>
    <xf numFmtId="2" fontId="0" fillId="0" borderId="0" xfId="0" applyNumberForma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0" xfId="0" applyFont="1" applyAlignment="1">
      <alignment horizontal="right"/>
    </xf>
    <xf numFmtId="0" fontId="2" fillId="0" borderId="2" xfId="0" applyFont="1" applyBorder="1"/>
    <xf numFmtId="14" fontId="0" fillId="0" borderId="0" xfId="0" applyNumberFormat="1" applyAlignment="1">
      <alignment horizontal="left" wrapText="1"/>
    </xf>
    <xf numFmtId="4" fontId="0" fillId="0" borderId="0" xfId="0" applyNumberFormat="1" applyAlignment="1">
      <alignment horizontal="right" wrapText="1"/>
    </xf>
    <xf numFmtId="14" fontId="0" fillId="0" borderId="3" xfId="0" applyNumberFormat="1" applyBorder="1" applyAlignment="1">
      <alignment horizontal="left" wrapText="1"/>
    </xf>
    <xf numFmtId="0" fontId="0" fillId="0" borderId="2" xfId="0" applyBorder="1"/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0" fillId="0" borderId="6" xfId="0" applyBorder="1" applyAlignment="1">
      <alignment wrapText="1"/>
    </xf>
    <xf numFmtId="4" fontId="0" fillId="0" borderId="6" xfId="0" applyNumberFormat="1" applyBorder="1" applyAlignment="1">
      <alignment horizontal="right" wrapText="1"/>
    </xf>
    <xf numFmtId="10" fontId="0" fillId="0" borderId="0" xfId="1" applyNumberFormat="1" applyFont="1"/>
    <xf numFmtId="4" fontId="0" fillId="0" borderId="6" xfId="0" applyNumberFormat="1" applyBorder="1" applyAlignment="1">
      <alignment horizontal="left" wrapText="1"/>
    </xf>
    <xf numFmtId="0" fontId="2" fillId="0" borderId="7" xfId="0" applyFont="1" applyBorder="1"/>
    <xf numFmtId="2" fontId="0" fillId="0" borderId="8" xfId="0" applyNumberFormat="1" applyBorder="1"/>
    <xf numFmtId="0" fontId="0" fillId="0" borderId="9" xfId="0" applyBorder="1"/>
    <xf numFmtId="0" fontId="0" fillId="0" borderId="10" xfId="0" applyBorder="1"/>
    <xf numFmtId="4" fontId="0" fillId="0" borderId="0" xfId="0" applyNumberFormat="1" applyAlignment="1">
      <alignment horizontal="left" wrapText="1"/>
    </xf>
    <xf numFmtId="164" fontId="0" fillId="0" borderId="10" xfId="0" applyNumberFormat="1" applyBorder="1"/>
    <xf numFmtId="10" fontId="0" fillId="0" borderId="10" xfId="0" applyNumberFormat="1" applyBorder="1"/>
    <xf numFmtId="0" fontId="0" fillId="0" borderId="4" xfId="0" applyBorder="1"/>
    <xf numFmtId="0" fontId="0" fillId="0" borderId="5" xfId="0" applyBorder="1"/>
    <xf numFmtId="0" fontId="0" fillId="0" borderId="11" xfId="0" applyBorder="1"/>
    <xf numFmtId="2" fontId="0" fillId="0" borderId="12" xfId="0" applyNumberFormat="1" applyBorder="1"/>
    <xf numFmtId="0" fontId="4" fillId="0" borderId="13" xfId="0" applyFont="1" applyBorder="1" applyAlignment="1">
      <alignment horizontal="centerContinuous"/>
    </xf>
    <xf numFmtId="0" fontId="4" fillId="0" borderId="14" xfId="0" applyFont="1" applyBorder="1" applyAlignment="1">
      <alignment horizontal="centerContinuous"/>
    </xf>
    <xf numFmtId="0" fontId="0" fillId="0" borderId="12" xfId="0" applyBorder="1"/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" fillId="0" borderId="14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1B20-1E21-40BE-86A9-2EA74E341F7E}">
  <dimension ref="A1:R110"/>
  <sheetViews>
    <sheetView tabSelected="1" workbookViewId="0">
      <selection activeCell="D1" sqref="D1:E1"/>
    </sheetView>
  </sheetViews>
  <sheetFormatPr defaultRowHeight="14.4" x14ac:dyDescent="0.3"/>
  <sheetData>
    <row r="1" spans="1:15" x14ac:dyDescent="0.3">
      <c r="A1" s="1" t="s">
        <v>0</v>
      </c>
      <c r="B1" s="1"/>
      <c r="D1" s="1" t="s">
        <v>104</v>
      </c>
      <c r="E1" s="1"/>
    </row>
    <row r="2" spans="1:15" x14ac:dyDescent="0.3">
      <c r="A2" s="1"/>
      <c r="B2" s="1"/>
    </row>
    <row r="3" spans="1:15" x14ac:dyDescent="0.3">
      <c r="A3" s="2" t="s">
        <v>1</v>
      </c>
      <c r="B3" s="2"/>
      <c r="C3" s="2"/>
      <c r="F3" s="2" t="s">
        <v>2</v>
      </c>
      <c r="G3" s="2"/>
      <c r="K3" s="3"/>
    </row>
    <row r="4" spans="1:15" ht="29.4" thickBot="1" x14ac:dyDescent="0.35">
      <c r="A4" s="4" t="s">
        <v>3</v>
      </c>
      <c r="B4" s="5" t="s">
        <v>4</v>
      </c>
      <c r="C4" s="6" t="s">
        <v>5</v>
      </c>
      <c r="F4" s="7" t="s">
        <v>4</v>
      </c>
      <c r="G4" s="7" t="s">
        <v>6</v>
      </c>
    </row>
    <row r="5" spans="1:15" ht="15" thickBot="1" x14ac:dyDescent="0.35">
      <c r="A5" s="8"/>
      <c r="B5" s="9"/>
      <c r="C5" s="10"/>
      <c r="G5" s="11"/>
      <c r="N5" s="12" t="s">
        <v>7</v>
      </c>
      <c r="O5" s="13"/>
    </row>
    <row r="6" spans="1:15" ht="29.4" thickBot="1" x14ac:dyDescent="0.35">
      <c r="A6" s="14" t="s">
        <v>8</v>
      </c>
      <c r="B6" s="15">
        <v>2994.2</v>
      </c>
      <c r="C6" s="16"/>
      <c r="F6" s="17">
        <v>14529.2</v>
      </c>
      <c r="J6" s="18" t="s">
        <v>9</v>
      </c>
      <c r="K6" s="19">
        <f>K29</f>
        <v>1.2421252296486511</v>
      </c>
      <c r="N6" s="20"/>
      <c r="O6" s="21"/>
    </row>
    <row r="7" spans="1:15" x14ac:dyDescent="0.3">
      <c r="A7" s="8">
        <v>44199</v>
      </c>
      <c r="B7" s="9">
        <v>3286.1</v>
      </c>
      <c r="C7" s="16">
        <f>B7/B6-1</f>
        <v>9.7488477723598921E-2</v>
      </c>
      <c r="F7" s="22">
        <v>14938.1</v>
      </c>
      <c r="G7" s="16">
        <f>F7/F6-1</f>
        <v>2.8143325165872923E-2</v>
      </c>
      <c r="N7" s="20" t="s">
        <v>10</v>
      </c>
      <c r="O7" s="23">
        <f>K6</f>
        <v>1.2421252296486511</v>
      </c>
    </row>
    <row r="8" spans="1:15" x14ac:dyDescent="0.3">
      <c r="A8" s="8">
        <v>44411</v>
      </c>
      <c r="B8" s="9">
        <v>3129.4</v>
      </c>
      <c r="C8" s="16">
        <f t="shared" ref="C8:C71" si="0">B8/B7-1</f>
        <v>-4.7685706460545929E-2</v>
      </c>
      <c r="F8" s="22">
        <v>15031</v>
      </c>
      <c r="G8" s="16">
        <f t="shared" ref="G8:G71" si="1">F8/F7-1</f>
        <v>6.2189970612058776E-3</v>
      </c>
      <c r="H8" s="9"/>
      <c r="N8" s="20" t="s">
        <v>11</v>
      </c>
      <c r="O8" s="24">
        <v>0.75</v>
      </c>
    </row>
    <row r="9" spans="1:15" ht="28.8" x14ac:dyDescent="0.3">
      <c r="A9" s="8" t="s">
        <v>12</v>
      </c>
      <c r="B9" s="9">
        <v>2960.3</v>
      </c>
      <c r="C9" s="16">
        <f t="shared" si="0"/>
        <v>-5.4035917428260971E-2</v>
      </c>
      <c r="F9" s="22">
        <v>14744</v>
      </c>
      <c r="G9" s="16">
        <f t="shared" si="1"/>
        <v>-1.9093872663162759E-2</v>
      </c>
      <c r="N9" s="20"/>
      <c r="O9" s="21"/>
    </row>
    <row r="10" spans="1:15" ht="28.8" x14ac:dyDescent="0.3">
      <c r="A10" s="8" t="s">
        <v>13</v>
      </c>
      <c r="B10" s="9">
        <v>2855.2</v>
      </c>
      <c r="C10" s="16">
        <f t="shared" si="0"/>
        <v>-3.550315846366936E-2</v>
      </c>
      <c r="F10" s="22">
        <v>14507.3</v>
      </c>
      <c r="G10" s="16">
        <f t="shared" si="1"/>
        <v>-1.6053988062940894E-2</v>
      </c>
      <c r="N10" s="20" t="s">
        <v>14</v>
      </c>
      <c r="O10" s="21">
        <v>1</v>
      </c>
    </row>
    <row r="11" spans="1:15" ht="29.4" thickBot="1" x14ac:dyDescent="0.35">
      <c r="A11" s="8" t="s">
        <v>15</v>
      </c>
      <c r="B11" s="9">
        <v>2912.7</v>
      </c>
      <c r="C11" s="16">
        <f t="shared" si="0"/>
        <v>2.0138694312132221E-2</v>
      </c>
      <c r="F11" s="22">
        <v>14867.3</v>
      </c>
      <c r="G11" s="16">
        <f t="shared" si="1"/>
        <v>2.4815093091064444E-2</v>
      </c>
      <c r="N11" s="20" t="s">
        <v>16</v>
      </c>
      <c r="O11" s="24">
        <v>0.25</v>
      </c>
    </row>
    <row r="12" spans="1:15" x14ac:dyDescent="0.3">
      <c r="A12" s="8">
        <v>44320</v>
      </c>
      <c r="B12" s="9">
        <v>2947.8</v>
      </c>
      <c r="C12" s="16">
        <f t="shared" si="0"/>
        <v>1.2050674631784997E-2</v>
      </c>
      <c r="F12" s="22">
        <v>14834.8</v>
      </c>
      <c r="G12" s="16">
        <f t="shared" si="1"/>
        <v>-2.1860055289124602E-3</v>
      </c>
      <c r="J12" s="25" t="s">
        <v>17</v>
      </c>
      <c r="K12" s="26"/>
      <c r="N12" s="20"/>
      <c r="O12" s="21"/>
    </row>
    <row r="13" spans="1:15" ht="15" thickBot="1" x14ac:dyDescent="0.35">
      <c r="A13" s="8">
        <v>44534</v>
      </c>
      <c r="B13" s="9">
        <v>2919.9</v>
      </c>
      <c r="C13" s="16">
        <f t="shared" si="0"/>
        <v>-9.4646855281905751E-3</v>
      </c>
      <c r="F13" s="22">
        <v>14617.8</v>
      </c>
      <c r="G13" s="16">
        <f t="shared" si="1"/>
        <v>-1.4627767142125325E-2</v>
      </c>
      <c r="J13" s="20"/>
      <c r="K13" s="21"/>
      <c r="N13" s="27" t="s">
        <v>18</v>
      </c>
      <c r="O13" s="28">
        <f>(O7*O8)+(O10*O11)</f>
        <v>1.1815939222364884</v>
      </c>
    </row>
    <row r="14" spans="1:15" ht="28.8" x14ac:dyDescent="0.3">
      <c r="A14" s="8" t="s">
        <v>19</v>
      </c>
      <c r="B14" s="9">
        <v>2713.7</v>
      </c>
      <c r="C14" s="16">
        <f t="shared" si="0"/>
        <v>-7.0618856810164776E-2</v>
      </c>
      <c r="F14" s="22">
        <v>14341.3</v>
      </c>
      <c r="G14" s="16">
        <f t="shared" si="1"/>
        <v>-1.8915295051238901E-2</v>
      </c>
      <c r="J14" s="29" t="s">
        <v>20</v>
      </c>
      <c r="K14" s="30"/>
    </row>
    <row r="15" spans="1:15" ht="28.8" x14ac:dyDescent="0.3">
      <c r="A15" s="8" t="s">
        <v>21</v>
      </c>
      <c r="B15" s="9">
        <v>2852.9</v>
      </c>
      <c r="C15" s="16">
        <f t="shared" si="0"/>
        <v>5.1295279507683311E-2</v>
      </c>
      <c r="F15" s="22">
        <v>14631.1</v>
      </c>
      <c r="G15" s="16">
        <f t="shared" si="1"/>
        <v>2.0207373111224225E-2</v>
      </c>
      <c r="J15" s="20" t="s">
        <v>22</v>
      </c>
      <c r="K15" s="21">
        <v>0.51109437804243274</v>
      </c>
    </row>
    <row r="16" spans="1:15" x14ac:dyDescent="0.3">
      <c r="A16" s="8">
        <v>44260</v>
      </c>
      <c r="B16" s="9">
        <v>2895.5</v>
      </c>
      <c r="C16" s="16">
        <f t="shared" si="0"/>
        <v>1.4932174278804E-2</v>
      </c>
      <c r="F16" s="22">
        <v>14823.2</v>
      </c>
      <c r="G16" s="16">
        <f t="shared" si="1"/>
        <v>1.3129566471420384E-2</v>
      </c>
      <c r="J16" s="20" t="s">
        <v>23</v>
      </c>
      <c r="K16" s="21">
        <v>0.26121746326658118</v>
      </c>
    </row>
    <row r="17" spans="1:18" x14ac:dyDescent="0.3">
      <c r="A17" s="8">
        <v>44474</v>
      </c>
      <c r="B17" s="9">
        <v>2844.6</v>
      </c>
      <c r="C17" s="16">
        <f t="shared" si="0"/>
        <v>-1.7579001899499236E-2</v>
      </c>
      <c r="F17" s="22">
        <v>14677.8</v>
      </c>
      <c r="G17" s="16">
        <f t="shared" si="1"/>
        <v>-9.8089481353554886E-3</v>
      </c>
      <c r="J17" s="20" t="s">
        <v>24</v>
      </c>
      <c r="K17" s="21">
        <v>0.25397449722017512</v>
      </c>
    </row>
    <row r="18" spans="1:18" ht="28.8" x14ac:dyDescent="0.3">
      <c r="A18" s="8" t="s">
        <v>25</v>
      </c>
      <c r="B18" s="9">
        <v>3034.1</v>
      </c>
      <c r="C18" s="16">
        <f t="shared" si="0"/>
        <v>6.6617450608169815E-2</v>
      </c>
      <c r="F18" s="22">
        <v>15175.3</v>
      </c>
      <c r="G18" s="16">
        <f t="shared" si="1"/>
        <v>3.3894725367561884E-2</v>
      </c>
      <c r="J18" s="20" t="s">
        <v>26</v>
      </c>
      <c r="K18" s="21">
        <v>4.2284959614115471E-2</v>
      </c>
    </row>
    <row r="19" spans="1:18" ht="29.4" thickBot="1" x14ac:dyDescent="0.35">
      <c r="A19" s="8" t="s">
        <v>27</v>
      </c>
      <c r="B19" s="9">
        <v>3022.1</v>
      </c>
      <c r="C19" s="16">
        <f t="shared" si="0"/>
        <v>-3.9550443294551485E-3</v>
      </c>
      <c r="F19" s="22">
        <v>15435.7</v>
      </c>
      <c r="G19" s="16">
        <f t="shared" si="1"/>
        <v>1.7159463074865267E-2</v>
      </c>
      <c r="J19" s="27" t="s">
        <v>28</v>
      </c>
      <c r="K19" s="31">
        <v>104</v>
      </c>
    </row>
    <row r="20" spans="1:18" ht="28.8" x14ac:dyDescent="0.3">
      <c r="A20" s="8" t="s">
        <v>29</v>
      </c>
      <c r="B20" s="9">
        <v>3197</v>
      </c>
      <c r="C20" s="16">
        <f t="shared" si="0"/>
        <v>5.7873664008470938E-2</v>
      </c>
      <c r="F20" s="22">
        <v>15670.3</v>
      </c>
      <c r="G20" s="16">
        <f t="shared" si="1"/>
        <v>1.5198533270275982E-2</v>
      </c>
      <c r="J20" s="20"/>
      <c r="K20" s="21"/>
    </row>
    <row r="21" spans="1:18" ht="15" thickBot="1" x14ac:dyDescent="0.35">
      <c r="A21" s="8">
        <v>44383</v>
      </c>
      <c r="B21" s="9">
        <v>3175.6</v>
      </c>
      <c r="C21" s="16">
        <f t="shared" si="0"/>
        <v>-6.693775414451042E-3</v>
      </c>
      <c r="F21" s="22">
        <v>15799.3</v>
      </c>
      <c r="G21" s="16">
        <f t="shared" si="1"/>
        <v>8.2321333988499834E-3</v>
      </c>
      <c r="J21" s="20" t="s">
        <v>30</v>
      </c>
      <c r="K21" s="21"/>
    </row>
    <row r="22" spans="1:18" ht="28.8" x14ac:dyDescent="0.3">
      <c r="A22" s="8" t="s">
        <v>31</v>
      </c>
      <c r="B22" s="9">
        <v>3317.7</v>
      </c>
      <c r="C22" s="16">
        <f t="shared" si="0"/>
        <v>4.4747449300919451E-2</v>
      </c>
      <c r="F22" s="22">
        <v>15683.3</v>
      </c>
      <c r="G22" s="16">
        <f t="shared" si="1"/>
        <v>-7.3420974346964929E-3</v>
      </c>
      <c r="J22" s="32"/>
      <c r="K22" s="33" t="s">
        <v>32</v>
      </c>
      <c r="L22" s="33" t="s">
        <v>33</v>
      </c>
      <c r="M22" s="33" t="s">
        <v>34</v>
      </c>
      <c r="N22" s="33" t="s">
        <v>35</v>
      </c>
      <c r="O22" s="33" t="s">
        <v>36</v>
      </c>
      <c r="P22" s="34"/>
    </row>
    <row r="23" spans="1:18" ht="28.8" x14ac:dyDescent="0.3">
      <c r="A23" s="8" t="s">
        <v>37</v>
      </c>
      <c r="B23" s="9">
        <v>3315.4</v>
      </c>
      <c r="C23" s="16">
        <f t="shared" si="0"/>
        <v>-6.9325134882591843E-4</v>
      </c>
      <c r="F23" s="22">
        <v>15860.3</v>
      </c>
      <c r="G23" s="16">
        <f t="shared" si="1"/>
        <v>1.1285890086907724E-2</v>
      </c>
      <c r="J23" s="20" t="s">
        <v>38</v>
      </c>
      <c r="K23">
        <v>1</v>
      </c>
      <c r="L23">
        <v>6.4484835839098448E-2</v>
      </c>
      <c r="M23">
        <v>6.4484835839098448E-2</v>
      </c>
      <c r="N23">
        <v>36.064985199840379</v>
      </c>
      <c r="O23">
        <v>2.9601287490140681E-8</v>
      </c>
      <c r="P23" s="35"/>
    </row>
    <row r="24" spans="1:18" ht="28.8" x14ac:dyDescent="0.3">
      <c r="A24" s="8" t="s">
        <v>39</v>
      </c>
      <c r="B24" s="9">
        <v>3314.3</v>
      </c>
      <c r="C24" s="16">
        <f t="shared" si="0"/>
        <v>-3.3178500331787486E-4</v>
      </c>
      <c r="F24" s="22">
        <v>15722.2</v>
      </c>
      <c r="G24" s="16">
        <f t="shared" si="1"/>
        <v>-8.7072753983215012E-3</v>
      </c>
      <c r="J24" s="20" t="s">
        <v>40</v>
      </c>
      <c r="K24">
        <v>102</v>
      </c>
      <c r="L24">
        <v>0.1823778165758724</v>
      </c>
      <c r="M24">
        <v>1.7880178095673765E-3</v>
      </c>
      <c r="P24" s="35"/>
    </row>
    <row r="25" spans="1:18" x14ac:dyDescent="0.3">
      <c r="A25" s="8">
        <v>44323</v>
      </c>
      <c r="B25" s="9">
        <v>3377.6</v>
      </c>
      <c r="C25" s="16">
        <f t="shared" si="0"/>
        <v>1.9099055607518789E-2</v>
      </c>
      <c r="F25" s="22">
        <v>15689.8</v>
      </c>
      <c r="G25" s="16">
        <f t="shared" si="1"/>
        <v>-2.0607802979227818E-3</v>
      </c>
      <c r="J25" s="36" t="s">
        <v>41</v>
      </c>
      <c r="K25" s="37">
        <v>103</v>
      </c>
      <c r="L25" s="37">
        <v>0.24686265241497085</v>
      </c>
      <c r="M25" s="37"/>
      <c r="N25" s="37"/>
      <c r="O25" s="37"/>
      <c r="P25" s="37"/>
    </row>
    <row r="26" spans="1:18" ht="15" thickBot="1" x14ac:dyDescent="0.35">
      <c r="A26" s="8">
        <v>44537</v>
      </c>
      <c r="B26" s="9">
        <v>3349.2</v>
      </c>
      <c r="C26" s="16">
        <f t="shared" si="0"/>
        <v>-8.4083372809095058E-3</v>
      </c>
      <c r="F26" s="22">
        <v>15923.4</v>
      </c>
      <c r="G26" s="16">
        <f t="shared" si="1"/>
        <v>1.4888653775064098E-2</v>
      </c>
      <c r="J26" s="20"/>
    </row>
    <row r="27" spans="1:18" ht="28.8" x14ac:dyDescent="0.3">
      <c r="A27" s="8" t="s">
        <v>42</v>
      </c>
      <c r="B27" s="9">
        <v>3413.2</v>
      </c>
      <c r="C27" s="16">
        <f t="shared" si="0"/>
        <v>1.9109040965006541E-2</v>
      </c>
      <c r="F27" s="22">
        <v>15856</v>
      </c>
      <c r="G27" s="16">
        <f t="shared" si="1"/>
        <v>-4.2327643593704778E-3</v>
      </c>
      <c r="J27" s="32"/>
      <c r="K27" s="33" t="s">
        <v>43</v>
      </c>
      <c r="L27" s="33" t="s">
        <v>26</v>
      </c>
      <c r="M27" s="33" t="s">
        <v>44</v>
      </c>
      <c r="N27" s="33" t="s">
        <v>45</v>
      </c>
      <c r="O27" s="33" t="s">
        <v>46</v>
      </c>
      <c r="P27" s="33" t="s">
        <v>47</v>
      </c>
      <c r="Q27" s="33" t="s">
        <v>48</v>
      </c>
      <c r="R27" s="38" t="s">
        <v>49</v>
      </c>
    </row>
    <row r="28" spans="1:18" ht="28.8" x14ac:dyDescent="0.3">
      <c r="A28" s="8" t="s">
        <v>50</v>
      </c>
      <c r="B28" s="9">
        <v>3500.8</v>
      </c>
      <c r="C28" s="16">
        <f t="shared" si="0"/>
        <v>2.5665065041603263E-2</v>
      </c>
      <c r="F28" s="22">
        <v>15763</v>
      </c>
      <c r="G28" s="16">
        <f t="shared" si="1"/>
        <v>-5.865287588294632E-3</v>
      </c>
      <c r="J28" s="20" t="s">
        <v>51</v>
      </c>
      <c r="K28">
        <v>1.0685559992921296E-4</v>
      </c>
      <c r="L28">
        <v>4.1708240440153583E-3</v>
      </c>
      <c r="M28">
        <v>2.5619781319362579E-2</v>
      </c>
      <c r="N28">
        <v>0.97961066430393151</v>
      </c>
      <c r="O28">
        <v>-8.1659541156753109E-3</v>
      </c>
      <c r="P28">
        <v>8.3796653155337377E-3</v>
      </c>
      <c r="Q28">
        <v>-8.1659541156753109E-3</v>
      </c>
      <c r="R28" s="21">
        <v>8.3796653155337377E-3</v>
      </c>
    </row>
    <row r="29" spans="1:18" ht="15" thickBot="1" x14ac:dyDescent="0.35">
      <c r="A29" s="8">
        <v>44235</v>
      </c>
      <c r="B29" s="9">
        <v>3529.2</v>
      </c>
      <c r="C29" s="16">
        <f t="shared" si="0"/>
        <v>8.1124314442411194E-3</v>
      </c>
      <c r="F29" s="22">
        <v>16238.2</v>
      </c>
      <c r="G29" s="16">
        <f t="shared" si="1"/>
        <v>3.0146545708304329E-2</v>
      </c>
      <c r="J29" s="27" t="s">
        <v>52</v>
      </c>
      <c r="K29" s="11">
        <v>1.2421252296486511</v>
      </c>
      <c r="L29" s="11">
        <v>0.20683427291066647</v>
      </c>
      <c r="M29" s="11">
        <v>6.0054129916135119</v>
      </c>
      <c r="N29" s="11">
        <v>2.9601287490141068E-8</v>
      </c>
      <c r="O29" s="11">
        <v>0.83187043002204319</v>
      </c>
      <c r="P29" s="11">
        <v>1.6523800292752591</v>
      </c>
      <c r="Q29" s="11">
        <v>0.83187043002204319</v>
      </c>
      <c r="R29" s="31">
        <v>1.6523800292752591</v>
      </c>
    </row>
    <row r="30" spans="1:18" x14ac:dyDescent="0.3">
      <c r="A30" s="8">
        <v>44447</v>
      </c>
      <c r="B30" s="9">
        <v>3594.6</v>
      </c>
      <c r="C30" s="16">
        <f t="shared" si="0"/>
        <v>1.8531111866711969E-2</v>
      </c>
      <c r="F30" s="22">
        <v>16529.099999999999</v>
      </c>
      <c r="G30" s="16">
        <f t="shared" si="1"/>
        <v>1.7914547178874418E-2</v>
      </c>
    </row>
    <row r="31" spans="1:18" ht="28.8" x14ac:dyDescent="0.3">
      <c r="A31" s="8" t="s">
        <v>53</v>
      </c>
      <c r="B31" s="9">
        <v>3643.1</v>
      </c>
      <c r="C31" s="16">
        <f t="shared" si="0"/>
        <v>1.3492460913592685E-2</v>
      </c>
      <c r="F31" s="22">
        <v>16450.5</v>
      </c>
      <c r="G31" s="16">
        <f t="shared" si="1"/>
        <v>-4.7552498321141723E-3</v>
      </c>
    </row>
    <row r="32" spans="1:18" ht="28.8" x14ac:dyDescent="0.3">
      <c r="A32" s="8" t="s">
        <v>54</v>
      </c>
      <c r="B32" s="9">
        <v>3833.1</v>
      </c>
      <c r="C32" s="16">
        <f t="shared" si="0"/>
        <v>5.2153385852707901E-2</v>
      </c>
      <c r="F32" s="22">
        <v>16705.2</v>
      </c>
      <c r="G32" s="16">
        <f t="shared" si="1"/>
        <v>1.5482812072581398E-2</v>
      </c>
    </row>
    <row r="33" spans="1:7" ht="28.8" x14ac:dyDescent="0.3">
      <c r="A33" s="8" t="s">
        <v>55</v>
      </c>
      <c r="B33" s="9">
        <v>3938.9</v>
      </c>
      <c r="C33" s="16">
        <f t="shared" si="0"/>
        <v>2.7601680102267157E-2</v>
      </c>
      <c r="F33" s="22">
        <v>17323.599999999999</v>
      </c>
      <c r="G33" s="16">
        <f t="shared" si="1"/>
        <v>3.7018413428153929E-2</v>
      </c>
    </row>
    <row r="34" spans="1:7" x14ac:dyDescent="0.3">
      <c r="A34" s="8">
        <v>44356</v>
      </c>
      <c r="B34" s="9">
        <v>3950.5</v>
      </c>
      <c r="C34" s="16">
        <f t="shared" si="0"/>
        <v>2.9449846403817315E-3</v>
      </c>
      <c r="F34" s="22">
        <v>17369.3</v>
      </c>
      <c r="G34" s="16">
        <f t="shared" si="1"/>
        <v>2.6380198111246589E-3</v>
      </c>
    </row>
    <row r="35" spans="1:7" ht="28.8" x14ac:dyDescent="0.3">
      <c r="A35" s="8" t="s">
        <v>56</v>
      </c>
      <c r="B35" s="9">
        <v>4239.6000000000004</v>
      </c>
      <c r="C35" s="16">
        <f t="shared" si="0"/>
        <v>7.3180610049360828E-2</v>
      </c>
      <c r="F35" s="22">
        <v>17585.2</v>
      </c>
      <c r="G35" s="16">
        <f t="shared" si="1"/>
        <v>1.2429977028435291E-2</v>
      </c>
    </row>
    <row r="36" spans="1:7" ht="28.8" x14ac:dyDescent="0.3">
      <c r="A36" s="8" t="s">
        <v>57</v>
      </c>
      <c r="B36" s="9">
        <v>4422.3999999999996</v>
      </c>
      <c r="C36" s="16">
        <f t="shared" si="0"/>
        <v>4.3117275214642703E-2</v>
      </c>
      <c r="F36" s="22">
        <v>17853.2</v>
      </c>
      <c r="G36" s="16">
        <f t="shared" si="1"/>
        <v>1.5240088256033513E-2</v>
      </c>
    </row>
    <row r="37" spans="1:7" ht="28.8" x14ac:dyDescent="0.3">
      <c r="A37" s="8" t="s">
        <v>58</v>
      </c>
      <c r="B37" s="9">
        <v>4235.6000000000004</v>
      </c>
      <c r="C37" s="16">
        <f t="shared" si="0"/>
        <v>-4.2239507959478839E-2</v>
      </c>
      <c r="F37" s="22">
        <v>17532.099999999999</v>
      </c>
      <c r="G37" s="16">
        <f t="shared" si="1"/>
        <v>-1.7985571214124252E-2</v>
      </c>
    </row>
    <row r="38" spans="1:7" x14ac:dyDescent="0.3">
      <c r="A38" s="8">
        <v>44296</v>
      </c>
      <c r="B38" s="9">
        <v>4408</v>
      </c>
      <c r="C38" s="16">
        <f t="shared" si="0"/>
        <v>4.0702615922183272E-2</v>
      </c>
      <c r="F38" s="22">
        <v>17895.2</v>
      </c>
      <c r="G38" s="16">
        <f t="shared" si="1"/>
        <v>2.0710582303318015E-2</v>
      </c>
    </row>
    <row r="39" spans="1:7" x14ac:dyDescent="0.3">
      <c r="A39" s="8">
        <v>44510</v>
      </c>
      <c r="B39" s="9">
        <v>5323.8</v>
      </c>
      <c r="C39" s="16">
        <f t="shared" si="0"/>
        <v>0.20775862068965512</v>
      </c>
      <c r="F39" s="22">
        <v>18338.599999999999</v>
      </c>
      <c r="G39" s="16">
        <f t="shared" si="1"/>
        <v>2.4777593991684776E-2</v>
      </c>
    </row>
    <row r="40" spans="1:7" ht="28.8" x14ac:dyDescent="0.3">
      <c r="A40" s="8" t="s">
        <v>59</v>
      </c>
      <c r="B40" s="9">
        <v>4521.5</v>
      </c>
      <c r="C40" s="16">
        <f t="shared" si="0"/>
        <v>-0.15070062737142642</v>
      </c>
      <c r="F40" s="22">
        <v>18114.900000000001</v>
      </c>
      <c r="G40" s="16">
        <f t="shared" si="1"/>
        <v>-1.2198313938904692E-2</v>
      </c>
    </row>
    <row r="41" spans="1:7" ht="28.8" x14ac:dyDescent="0.3">
      <c r="A41" s="8" t="s">
        <v>60</v>
      </c>
      <c r="B41" s="9">
        <v>4635.5</v>
      </c>
      <c r="C41" s="16">
        <f t="shared" si="0"/>
        <v>2.5212871834568107E-2</v>
      </c>
      <c r="F41" s="22">
        <v>17671.7</v>
      </c>
      <c r="G41" s="16">
        <f t="shared" si="1"/>
        <v>-2.4466047287039938E-2</v>
      </c>
    </row>
    <row r="42" spans="1:7" x14ac:dyDescent="0.3">
      <c r="A42" s="8">
        <v>44207</v>
      </c>
      <c r="B42" s="9">
        <v>4783.7</v>
      </c>
      <c r="C42" s="16">
        <f t="shared" si="0"/>
        <v>3.1970661201596418E-2</v>
      </c>
      <c r="F42" s="22">
        <v>17916.8</v>
      </c>
      <c r="G42" s="16">
        <f t="shared" si="1"/>
        <v>1.3869633368606138E-2</v>
      </c>
    </row>
    <row r="43" spans="1:7" x14ac:dyDescent="0.3">
      <c r="A43" s="8">
        <v>44419</v>
      </c>
      <c r="B43" s="9">
        <v>5078.5</v>
      </c>
      <c r="C43" s="16">
        <f t="shared" si="0"/>
        <v>6.1625938081401488E-2</v>
      </c>
      <c r="F43" s="22">
        <v>18102.8</v>
      </c>
      <c r="G43" s="16">
        <f t="shared" si="1"/>
        <v>1.0381318092516523E-2</v>
      </c>
    </row>
    <row r="44" spans="1:7" ht="28.8" x14ac:dyDescent="0.3">
      <c r="A44" s="8" t="s">
        <v>61</v>
      </c>
      <c r="B44" s="9">
        <v>5080.8999999999996</v>
      </c>
      <c r="C44" s="16">
        <f t="shared" si="0"/>
        <v>4.7258048636411587E-4</v>
      </c>
      <c r="F44" s="22">
        <v>17764.8</v>
      </c>
      <c r="G44" s="16">
        <f t="shared" si="1"/>
        <v>-1.8671144795280314E-2</v>
      </c>
    </row>
    <row r="45" spans="1:7" ht="28.8" x14ac:dyDescent="0.3">
      <c r="A45" s="8" t="s">
        <v>62</v>
      </c>
      <c r="B45" s="9">
        <v>4718.8</v>
      </c>
      <c r="C45" s="16">
        <f t="shared" si="0"/>
        <v>-7.1266901533192817E-2</v>
      </c>
      <c r="F45" s="22">
        <v>17026.400000000001</v>
      </c>
      <c r="G45" s="16">
        <f t="shared" si="1"/>
        <v>-4.1565342700170982E-2</v>
      </c>
    </row>
    <row r="46" spans="1:7" ht="28.8" x14ac:dyDescent="0.3">
      <c r="A46" s="8" t="s">
        <v>63</v>
      </c>
      <c r="B46" s="9">
        <v>4799</v>
      </c>
      <c r="C46" s="16">
        <f t="shared" si="0"/>
        <v>1.6995846401627546E-2</v>
      </c>
      <c r="F46" s="22">
        <v>17196.7</v>
      </c>
      <c r="G46" s="16">
        <f t="shared" si="1"/>
        <v>1.0002114363576453E-2</v>
      </c>
    </row>
    <row r="47" spans="1:7" x14ac:dyDescent="0.3">
      <c r="A47" s="8">
        <v>44359</v>
      </c>
      <c r="B47" s="9">
        <v>4796.6000000000004</v>
      </c>
      <c r="C47" s="16">
        <f t="shared" si="0"/>
        <v>-5.00104188372541E-4</v>
      </c>
      <c r="F47" s="22">
        <v>17511.3</v>
      </c>
      <c r="G47" s="16">
        <f t="shared" si="1"/>
        <v>1.8294207609599322E-2</v>
      </c>
    </row>
    <row r="48" spans="1:7" ht="28.8" x14ac:dyDescent="0.3">
      <c r="A48" s="8" t="s">
        <v>64</v>
      </c>
      <c r="B48" s="9">
        <v>4697.8</v>
      </c>
      <c r="C48" s="16">
        <f t="shared" si="0"/>
        <v>-2.0597923529166562E-2</v>
      </c>
      <c r="F48" s="22">
        <v>16985.2</v>
      </c>
      <c r="G48" s="16">
        <f t="shared" si="1"/>
        <v>-3.004345765305827E-2</v>
      </c>
    </row>
    <row r="49" spans="1:7" ht="28.8" x14ac:dyDescent="0.3">
      <c r="A49" s="8" t="s">
        <v>65</v>
      </c>
      <c r="B49" s="9">
        <v>4628.8999999999996</v>
      </c>
      <c r="C49" s="16">
        <f t="shared" si="0"/>
        <v>-1.4666439610030335E-2</v>
      </c>
      <c r="F49" s="22">
        <v>17003.8</v>
      </c>
      <c r="G49" s="16">
        <f t="shared" si="1"/>
        <v>1.0950710029906663E-3</v>
      </c>
    </row>
    <row r="50" spans="1:7" ht="28.8" x14ac:dyDescent="0.3">
      <c r="A50" s="8" t="s">
        <v>66</v>
      </c>
      <c r="B50" s="9">
        <v>4671.5</v>
      </c>
      <c r="C50" s="16">
        <f t="shared" si="0"/>
        <v>9.2030504007432068E-3</v>
      </c>
      <c r="F50" s="22">
        <v>17354.099999999999</v>
      </c>
      <c r="G50" s="16">
        <f t="shared" si="1"/>
        <v>2.0601277361530945E-2</v>
      </c>
    </row>
    <row r="51" spans="1:7" x14ac:dyDescent="0.3">
      <c r="A51" s="8">
        <v>44621</v>
      </c>
      <c r="B51" s="9">
        <v>4731.3999999999996</v>
      </c>
      <c r="C51" s="16">
        <f t="shared" si="0"/>
        <v>1.2822433907738295E-2</v>
      </c>
      <c r="F51" s="22">
        <v>17812.7</v>
      </c>
      <c r="G51" s="16">
        <f t="shared" si="1"/>
        <v>2.6426031888718171E-2</v>
      </c>
    </row>
    <row r="52" spans="1:7" x14ac:dyDescent="0.3">
      <c r="A52" s="8">
        <v>44835</v>
      </c>
      <c r="B52" s="9">
        <v>4322.7</v>
      </c>
      <c r="C52" s="16">
        <f t="shared" si="0"/>
        <v>-8.6380352538360738E-2</v>
      </c>
      <c r="F52" s="22">
        <v>18255.8</v>
      </c>
      <c r="G52" s="16">
        <f t="shared" si="1"/>
        <v>2.4875510169710235E-2</v>
      </c>
    </row>
    <row r="53" spans="1:7" ht="28.8" x14ac:dyDescent="0.3">
      <c r="A53" s="8" t="s">
        <v>67</v>
      </c>
      <c r="B53" s="9">
        <v>4299.8</v>
      </c>
      <c r="C53" s="16">
        <f t="shared" si="0"/>
        <v>-5.2976149166029662E-3</v>
      </c>
      <c r="F53" s="22">
        <v>17617.2</v>
      </c>
      <c r="G53" s="16">
        <f t="shared" si="1"/>
        <v>-3.4980663679488044E-2</v>
      </c>
    </row>
    <row r="54" spans="1:7" ht="28.8" x14ac:dyDescent="0.3">
      <c r="A54" s="8" t="s">
        <v>68</v>
      </c>
      <c r="B54" s="9">
        <v>4076</v>
      </c>
      <c r="C54" s="16">
        <f t="shared" si="0"/>
        <v>-5.2048932508488854E-2</v>
      </c>
      <c r="F54" s="22">
        <v>17101.900000000001</v>
      </c>
      <c r="G54" s="16">
        <f t="shared" si="1"/>
        <v>-2.9249824035601502E-2</v>
      </c>
    </row>
    <row r="55" spans="1:7" ht="28.8" x14ac:dyDescent="0.3">
      <c r="A55" s="8" t="s">
        <v>69</v>
      </c>
      <c r="B55" s="9">
        <v>4081.9</v>
      </c>
      <c r="C55" s="16">
        <f t="shared" si="0"/>
        <v>1.4474975466143292E-3</v>
      </c>
      <c r="F55" s="22">
        <v>17516.3</v>
      </c>
      <c r="G55" s="16">
        <f t="shared" si="1"/>
        <v>2.4231225770235953E-2</v>
      </c>
    </row>
    <row r="56" spans="1:7" x14ac:dyDescent="0.3">
      <c r="A56" s="8">
        <v>44744</v>
      </c>
      <c r="B56" s="9">
        <v>4142.3</v>
      </c>
      <c r="C56" s="16">
        <f t="shared" si="0"/>
        <v>1.4797030794482913E-2</v>
      </c>
      <c r="F56" s="22">
        <v>17374.8</v>
      </c>
      <c r="G56" s="16">
        <f t="shared" si="1"/>
        <v>-8.0781900287161257E-3</v>
      </c>
    </row>
    <row r="57" spans="1:7" ht="28.8" x14ac:dyDescent="0.3">
      <c r="A57" s="8" t="s">
        <v>70</v>
      </c>
      <c r="B57" s="9">
        <v>4073.1</v>
      </c>
      <c r="C57" s="16">
        <f t="shared" si="0"/>
        <v>-1.6705694903797474E-2</v>
      </c>
      <c r="F57" s="22">
        <v>17276.3</v>
      </c>
      <c r="G57" s="16">
        <f t="shared" si="1"/>
        <v>-5.6691300043741899E-3</v>
      </c>
    </row>
    <row r="58" spans="1:7" ht="28.8" x14ac:dyDescent="0.3">
      <c r="A58" s="8" t="s">
        <v>71</v>
      </c>
      <c r="B58" s="9">
        <v>4190.8</v>
      </c>
      <c r="C58" s="16">
        <f t="shared" si="0"/>
        <v>2.8896908988240044E-2</v>
      </c>
      <c r="F58" s="22">
        <v>16658.400000000001</v>
      </c>
      <c r="G58" s="16">
        <f t="shared" si="1"/>
        <v>-3.5765760029635829E-2</v>
      </c>
    </row>
    <row r="59" spans="1:7" ht="28.8" x14ac:dyDescent="0.3">
      <c r="A59" s="8" t="s">
        <v>72</v>
      </c>
      <c r="B59" s="9">
        <v>4110.2</v>
      </c>
      <c r="C59" s="16">
        <f t="shared" si="0"/>
        <v>-1.9232604753269156E-2</v>
      </c>
      <c r="F59" s="22">
        <v>16245.3</v>
      </c>
      <c r="G59" s="16">
        <f t="shared" si="1"/>
        <v>-2.4798299956778735E-2</v>
      </c>
    </row>
    <row r="60" spans="1:7" x14ac:dyDescent="0.3">
      <c r="A60" s="8">
        <v>44745</v>
      </c>
      <c r="B60" s="9">
        <v>4199</v>
      </c>
      <c r="C60" s="16">
        <f t="shared" si="0"/>
        <v>2.1604788088170901E-2</v>
      </c>
      <c r="F60" s="22">
        <v>16630.400000000001</v>
      </c>
      <c r="G60" s="16">
        <f t="shared" si="1"/>
        <v>2.3705317845777119E-2</v>
      </c>
    </row>
    <row r="61" spans="1:7" ht="28.8" x14ac:dyDescent="0.3">
      <c r="A61" s="8" t="s">
        <v>73</v>
      </c>
      <c r="B61" s="9">
        <v>4192.8</v>
      </c>
      <c r="C61" s="16">
        <f t="shared" si="0"/>
        <v>-1.4765420338175295E-3</v>
      </c>
      <c r="F61" s="22">
        <v>17287.099999999999</v>
      </c>
      <c r="G61" s="16">
        <f t="shared" si="1"/>
        <v>3.9487925726380491E-2</v>
      </c>
    </row>
    <row r="62" spans="1:7" ht="28.8" x14ac:dyDescent="0.3">
      <c r="A62" s="8" t="s">
        <v>74</v>
      </c>
      <c r="B62" s="9">
        <v>4001.3</v>
      </c>
      <c r="C62" s="16">
        <f t="shared" si="0"/>
        <v>-4.5673535584812019E-2</v>
      </c>
      <c r="F62" s="22">
        <v>17153</v>
      </c>
      <c r="G62" s="16">
        <f t="shared" si="1"/>
        <v>-7.7572293791323688E-3</v>
      </c>
    </row>
    <row r="63" spans="1:7" ht="28.8" x14ac:dyDescent="0.3">
      <c r="A63" s="8" t="s">
        <v>75</v>
      </c>
      <c r="B63" s="9">
        <v>4082.2</v>
      </c>
      <c r="C63" s="16">
        <f t="shared" si="0"/>
        <v>2.0218429010571581E-2</v>
      </c>
      <c r="F63" s="22">
        <v>17670.400000000001</v>
      </c>
      <c r="G63" s="16">
        <f t="shared" si="1"/>
        <v>3.0163819739987163E-2</v>
      </c>
    </row>
    <row r="64" spans="1:7" x14ac:dyDescent="0.3">
      <c r="A64" s="8">
        <v>44655</v>
      </c>
      <c r="B64" s="9">
        <v>4146.3</v>
      </c>
      <c r="C64" s="16">
        <f t="shared" si="0"/>
        <v>1.5702317377884523E-2</v>
      </c>
      <c r="F64" s="22">
        <v>17784.3</v>
      </c>
      <c r="G64" s="16">
        <f t="shared" si="1"/>
        <v>6.4458076783773244E-3</v>
      </c>
    </row>
    <row r="65" spans="1:7" x14ac:dyDescent="0.3">
      <c r="A65" s="8">
        <v>44869</v>
      </c>
      <c r="B65" s="9">
        <v>4090.9</v>
      </c>
      <c r="C65" s="16">
        <f t="shared" si="0"/>
        <v>-1.3361310083689126E-2</v>
      </c>
      <c r="F65" s="22">
        <v>17475.7</v>
      </c>
      <c r="G65" s="16">
        <f t="shared" si="1"/>
        <v>-1.7352383844177033E-2</v>
      </c>
    </row>
    <row r="66" spans="1:7" ht="28.8" x14ac:dyDescent="0.3">
      <c r="A66" s="8" t="s">
        <v>76</v>
      </c>
      <c r="B66" s="9">
        <v>4028.9</v>
      </c>
      <c r="C66" s="16">
        <f t="shared" si="0"/>
        <v>-1.5155589234642775E-2</v>
      </c>
      <c r="F66" s="22">
        <v>17171.900000000001</v>
      </c>
      <c r="G66" s="16">
        <f t="shared" si="1"/>
        <v>-1.7384139118890807E-2</v>
      </c>
    </row>
    <row r="67" spans="1:7" ht="28.8" x14ac:dyDescent="0.3">
      <c r="A67" s="8" t="s">
        <v>77</v>
      </c>
      <c r="B67" s="9">
        <v>3944.3</v>
      </c>
      <c r="C67" s="16">
        <f t="shared" si="0"/>
        <v>-2.0998287373724778E-2</v>
      </c>
      <c r="F67" s="22">
        <v>17102.599999999999</v>
      </c>
      <c r="G67" s="16">
        <f t="shared" si="1"/>
        <v>-4.0356629144127076E-3</v>
      </c>
    </row>
    <row r="68" spans="1:7" x14ac:dyDescent="0.3">
      <c r="A68" s="8">
        <v>44597</v>
      </c>
      <c r="B68" s="9">
        <v>3666.2</v>
      </c>
      <c r="C68" s="16">
        <f t="shared" si="0"/>
        <v>-7.050680729153469E-2</v>
      </c>
      <c r="F68" s="22">
        <v>16411.3</v>
      </c>
      <c r="G68" s="16">
        <f t="shared" si="1"/>
        <v>-4.0420754739045495E-2</v>
      </c>
    </row>
    <row r="69" spans="1:7" x14ac:dyDescent="0.3">
      <c r="A69" s="8">
        <v>44809</v>
      </c>
      <c r="B69" s="9">
        <v>3230.6</v>
      </c>
      <c r="C69" s="16">
        <f t="shared" si="0"/>
        <v>-0.11881512192460852</v>
      </c>
      <c r="F69" s="22">
        <v>15782.2</v>
      </c>
      <c r="G69" s="16">
        <f t="shared" si="1"/>
        <v>-3.8333343488937466E-2</v>
      </c>
    </row>
    <row r="70" spans="1:7" ht="28.8" x14ac:dyDescent="0.3">
      <c r="A70" s="8" t="s">
        <v>78</v>
      </c>
      <c r="B70" s="9">
        <v>3630.4</v>
      </c>
      <c r="C70" s="16">
        <f t="shared" si="0"/>
        <v>0.12375410140531184</v>
      </c>
      <c r="F70" s="22">
        <v>16266.2</v>
      </c>
      <c r="G70" s="16">
        <f t="shared" si="1"/>
        <v>3.0667460810279934E-2</v>
      </c>
    </row>
    <row r="71" spans="1:7" ht="28.8" x14ac:dyDescent="0.3">
      <c r="A71" s="8" t="s">
        <v>79</v>
      </c>
      <c r="B71" s="9">
        <v>3613.9</v>
      </c>
      <c r="C71" s="16">
        <f t="shared" si="0"/>
        <v>-4.5449537241075699E-3</v>
      </c>
      <c r="F71" s="22">
        <v>16352.5</v>
      </c>
      <c r="G71" s="16">
        <f t="shared" si="1"/>
        <v>5.3054800752481146E-3</v>
      </c>
    </row>
    <row r="72" spans="1:7" ht="28.8" x14ac:dyDescent="0.3">
      <c r="A72" s="8" t="s">
        <v>80</v>
      </c>
      <c r="B72" s="9">
        <v>3820.1</v>
      </c>
      <c r="C72" s="16">
        <f t="shared" ref="C72:C110" si="2">B72/B71-1</f>
        <v>5.7057472536594656E-2</v>
      </c>
      <c r="F72" s="22">
        <v>16584.3</v>
      </c>
      <c r="G72" s="16">
        <f t="shared" ref="G72:G110" si="3">F72/F71-1</f>
        <v>1.4175202568414536E-2</v>
      </c>
    </row>
    <row r="73" spans="1:7" x14ac:dyDescent="0.3">
      <c r="A73" s="8">
        <v>44718</v>
      </c>
      <c r="B73" s="9">
        <v>3755.6</v>
      </c>
      <c r="C73" s="16">
        <f t="shared" si="2"/>
        <v>-1.6884374754587594E-2</v>
      </c>
      <c r="F73" s="22">
        <v>16201.8</v>
      </c>
      <c r="G73" s="16">
        <f t="shared" si="3"/>
        <v>-2.3063982200032584E-2</v>
      </c>
    </row>
    <row r="74" spans="1:7" ht="28.8" x14ac:dyDescent="0.3">
      <c r="A74" s="8" t="s">
        <v>81</v>
      </c>
      <c r="B74" s="9">
        <v>3460.6</v>
      </c>
      <c r="C74" s="16">
        <f t="shared" si="2"/>
        <v>-7.8549366279689004E-2</v>
      </c>
      <c r="F74" s="22">
        <v>15293.5</v>
      </c>
      <c r="G74" s="16">
        <f t="shared" si="3"/>
        <v>-5.6061672159883447E-2</v>
      </c>
    </row>
    <row r="75" spans="1:7" ht="28.8" x14ac:dyDescent="0.3">
      <c r="A75" s="8" t="s">
        <v>82</v>
      </c>
      <c r="B75" s="9">
        <v>3412</v>
      </c>
      <c r="C75" s="16">
        <f t="shared" si="2"/>
        <v>-1.404380743223721E-2</v>
      </c>
      <c r="F75" s="22">
        <v>15699.3</v>
      </c>
      <c r="G75" s="16">
        <f t="shared" si="3"/>
        <v>2.6534148494458343E-2</v>
      </c>
    </row>
    <row r="76" spans="1:7" ht="28.8" x14ac:dyDescent="0.3">
      <c r="A76" s="8" t="s">
        <v>83</v>
      </c>
      <c r="B76" s="9">
        <v>3388.8</v>
      </c>
      <c r="C76" s="16">
        <f t="shared" si="2"/>
        <v>-6.7995310668229614E-3</v>
      </c>
      <c r="F76" s="22">
        <v>15752</v>
      </c>
      <c r="G76" s="16">
        <f t="shared" si="3"/>
        <v>3.3568375660062433E-3</v>
      </c>
    </row>
    <row r="77" spans="1:7" x14ac:dyDescent="0.3">
      <c r="A77" s="8">
        <v>44658</v>
      </c>
      <c r="B77" s="9">
        <v>3941.7</v>
      </c>
      <c r="C77" s="16">
        <f t="shared" si="2"/>
        <v>0.16315509915014159</v>
      </c>
      <c r="F77" s="22">
        <v>16220.6</v>
      </c>
      <c r="G77" s="16">
        <f t="shared" si="3"/>
        <v>2.9748603351955394E-2</v>
      </c>
    </row>
    <row r="78" spans="1:7" x14ac:dyDescent="0.3">
      <c r="A78" s="8">
        <v>44872</v>
      </c>
      <c r="B78" s="9">
        <v>3926.8</v>
      </c>
      <c r="C78" s="16">
        <f t="shared" si="2"/>
        <v>-3.7800948829184167E-3</v>
      </c>
      <c r="F78" s="22">
        <v>16049.2</v>
      </c>
      <c r="G78" s="16">
        <f t="shared" si="3"/>
        <v>-1.0566810105668067E-2</v>
      </c>
    </row>
    <row r="79" spans="1:7" ht="28.8" x14ac:dyDescent="0.3">
      <c r="A79" s="8" t="s">
        <v>84</v>
      </c>
      <c r="B79" s="9">
        <v>3963.4</v>
      </c>
      <c r="C79" s="16">
        <f t="shared" si="2"/>
        <v>9.3205663644697623E-3</v>
      </c>
      <c r="F79" s="22">
        <v>16719.400000000001</v>
      </c>
      <c r="G79" s="16">
        <f t="shared" si="3"/>
        <v>4.1759090795802978E-2</v>
      </c>
    </row>
    <row r="80" spans="1:7" ht="28.8" x14ac:dyDescent="0.3">
      <c r="A80" s="8" t="s">
        <v>85</v>
      </c>
      <c r="B80" s="9">
        <v>4243.8999999999996</v>
      </c>
      <c r="C80" s="16">
        <f t="shared" si="2"/>
        <v>7.0772569006408492E-2</v>
      </c>
      <c r="F80" s="22">
        <v>17158.3</v>
      </c>
      <c r="G80" s="16">
        <f t="shared" si="3"/>
        <v>2.625094201945033E-2</v>
      </c>
    </row>
    <row r="81" spans="1:7" x14ac:dyDescent="0.3">
      <c r="A81" s="8">
        <v>44569</v>
      </c>
      <c r="B81" s="9">
        <v>4232.3</v>
      </c>
      <c r="C81" s="16">
        <f t="shared" si="2"/>
        <v>-2.7333349042153454E-3</v>
      </c>
      <c r="F81" s="22">
        <v>17397.5</v>
      </c>
      <c r="G81" s="16">
        <f t="shared" si="3"/>
        <v>1.3940775018504103E-2</v>
      </c>
    </row>
    <row r="82" spans="1:7" x14ac:dyDescent="0.3">
      <c r="A82" s="8">
        <v>44781</v>
      </c>
      <c r="B82" s="9">
        <v>4336.7</v>
      </c>
      <c r="C82" s="16">
        <f t="shared" si="2"/>
        <v>2.4667438508612305E-2</v>
      </c>
      <c r="F82" s="22">
        <v>17698.2</v>
      </c>
      <c r="G82" s="16">
        <f t="shared" si="3"/>
        <v>1.7284092542031892E-2</v>
      </c>
    </row>
    <row r="83" spans="1:7" ht="28.8" x14ac:dyDescent="0.3">
      <c r="A83" s="8" t="s">
        <v>86</v>
      </c>
      <c r="B83" s="9">
        <v>4382</v>
      </c>
      <c r="C83" s="16">
        <f t="shared" si="2"/>
        <v>1.0445730624668581E-2</v>
      </c>
      <c r="F83" s="22">
        <v>17758.400000000001</v>
      </c>
      <c r="G83" s="16">
        <f t="shared" si="3"/>
        <v>3.4014758563019054E-3</v>
      </c>
    </row>
    <row r="84" spans="1:7" ht="28.8" x14ac:dyDescent="0.3">
      <c r="A84" s="8" t="s">
        <v>87</v>
      </c>
      <c r="B84" s="9">
        <v>4409.6000000000004</v>
      </c>
      <c r="C84" s="16">
        <f t="shared" si="2"/>
        <v>6.2984938384300637E-3</v>
      </c>
      <c r="F84" s="22">
        <v>17558.900000000001</v>
      </c>
      <c r="G84" s="16">
        <f t="shared" si="3"/>
        <v>-1.1234120191008223E-2</v>
      </c>
    </row>
    <row r="85" spans="1:7" ht="28.8" x14ac:dyDescent="0.3">
      <c r="A85" s="8" t="s">
        <v>88</v>
      </c>
      <c r="B85" s="9">
        <v>4576.8</v>
      </c>
      <c r="C85" s="16">
        <f t="shared" si="2"/>
        <v>3.7917271407837294E-2</v>
      </c>
      <c r="F85" s="22">
        <v>17539.400000000001</v>
      </c>
      <c r="G85" s="16">
        <f t="shared" si="3"/>
        <v>-1.1105479272619512E-3</v>
      </c>
    </row>
    <row r="86" spans="1:7" x14ac:dyDescent="0.3">
      <c r="A86" s="8">
        <v>44690</v>
      </c>
      <c r="B86" s="9">
        <v>4386.1000000000004</v>
      </c>
      <c r="C86" s="16">
        <f t="shared" si="2"/>
        <v>-4.166666666666663E-2</v>
      </c>
      <c r="F86" s="22">
        <v>17833.3</v>
      </c>
      <c r="G86" s="16">
        <f t="shared" si="3"/>
        <v>1.675655951742927E-2</v>
      </c>
    </row>
    <row r="87" spans="1:7" x14ac:dyDescent="0.3">
      <c r="A87" s="8">
        <v>44904</v>
      </c>
      <c r="B87" s="9">
        <v>4327.5</v>
      </c>
      <c r="C87" s="16">
        <f t="shared" si="2"/>
        <v>-1.3360388500034293E-2</v>
      </c>
      <c r="F87" s="22">
        <v>17530.8</v>
      </c>
      <c r="G87" s="16">
        <f t="shared" si="3"/>
        <v>-1.6962648528314972E-2</v>
      </c>
    </row>
    <row r="88" spans="1:7" ht="28.8" x14ac:dyDescent="0.3">
      <c r="A88" s="8" t="s">
        <v>89</v>
      </c>
      <c r="B88" s="9">
        <v>4367</v>
      </c>
      <c r="C88" s="16">
        <f t="shared" si="2"/>
        <v>9.127671865973408E-3</v>
      </c>
      <c r="F88" s="22">
        <v>17327.3</v>
      </c>
      <c r="G88" s="16">
        <f t="shared" si="3"/>
        <v>-1.1608141100235003E-2</v>
      </c>
    </row>
    <row r="89" spans="1:7" ht="28.8" x14ac:dyDescent="0.3">
      <c r="A89" s="8" t="s">
        <v>90</v>
      </c>
      <c r="B89" s="9">
        <v>4386.5</v>
      </c>
      <c r="C89" s="16">
        <f t="shared" si="2"/>
        <v>4.4653079917562621E-3</v>
      </c>
      <c r="F89" s="22">
        <v>17094.3</v>
      </c>
      <c r="G89" s="16">
        <f t="shared" si="3"/>
        <v>-1.3446988278612348E-2</v>
      </c>
    </row>
    <row r="90" spans="1:7" x14ac:dyDescent="0.3">
      <c r="A90" s="8">
        <v>44630</v>
      </c>
      <c r="B90" s="9">
        <v>4471.5</v>
      </c>
      <c r="C90" s="16">
        <f t="shared" si="2"/>
        <v>1.9377635928416792E-2</v>
      </c>
      <c r="F90" s="22">
        <v>17314.7</v>
      </c>
      <c r="G90" s="16">
        <f t="shared" si="3"/>
        <v>1.289318661776151E-2</v>
      </c>
    </row>
    <row r="91" spans="1:7" x14ac:dyDescent="0.3">
      <c r="A91" s="8">
        <v>44844</v>
      </c>
      <c r="B91" s="9">
        <v>4306.1000000000004</v>
      </c>
      <c r="C91" s="16">
        <f t="shared" si="2"/>
        <v>-3.6989824443698915E-2</v>
      </c>
      <c r="F91" s="22">
        <v>17185.7</v>
      </c>
      <c r="G91" s="16">
        <f t="shared" si="3"/>
        <v>-7.4503167828492423E-3</v>
      </c>
    </row>
    <row r="92" spans="1:7" ht="28.8" x14ac:dyDescent="0.3">
      <c r="A92" s="8" t="s">
        <v>91</v>
      </c>
      <c r="B92" s="9">
        <v>4215.5</v>
      </c>
      <c r="C92" s="16">
        <f t="shared" si="2"/>
        <v>-2.103992011332767E-2</v>
      </c>
      <c r="F92" s="22">
        <v>17576.3</v>
      </c>
      <c r="G92" s="16">
        <f t="shared" si="3"/>
        <v>2.2728198444055048E-2</v>
      </c>
    </row>
    <row r="93" spans="1:7" ht="28.8" x14ac:dyDescent="0.3">
      <c r="A93" s="8" t="s">
        <v>92</v>
      </c>
      <c r="B93" s="9">
        <v>4307.3999999999996</v>
      </c>
      <c r="C93" s="16">
        <f t="shared" si="2"/>
        <v>2.18004981615465E-2</v>
      </c>
      <c r="F93" s="22">
        <v>17786.8</v>
      </c>
      <c r="G93" s="16">
        <f t="shared" si="3"/>
        <v>1.1976354522851729E-2</v>
      </c>
    </row>
    <row r="94" spans="1:7" ht="28.8" x14ac:dyDescent="0.3">
      <c r="A94" s="8" t="s">
        <v>93</v>
      </c>
      <c r="B94" s="9">
        <v>4167.3999999999996</v>
      </c>
      <c r="C94" s="16">
        <f t="shared" si="2"/>
        <v>-3.2502205506802273E-2</v>
      </c>
      <c r="F94" s="22">
        <v>18117.2</v>
      </c>
      <c r="G94" s="16">
        <f t="shared" si="3"/>
        <v>1.8575572896754933E-2</v>
      </c>
    </row>
    <row r="95" spans="1:7" x14ac:dyDescent="0.3">
      <c r="A95" s="8">
        <v>44753</v>
      </c>
      <c r="B95" s="9">
        <v>4128.3999999999996</v>
      </c>
      <c r="C95" s="16">
        <f t="shared" si="2"/>
        <v>-9.3583529298842949E-3</v>
      </c>
      <c r="F95" s="22">
        <v>18349.7</v>
      </c>
      <c r="G95" s="16">
        <f t="shared" si="3"/>
        <v>1.2833108868920196E-2</v>
      </c>
    </row>
    <row r="96" spans="1:7" ht="28.8" x14ac:dyDescent="0.3">
      <c r="A96" s="8" t="s">
        <v>94</v>
      </c>
      <c r="B96" s="9">
        <v>3910.6</v>
      </c>
      <c r="C96" s="16">
        <f t="shared" si="2"/>
        <v>-5.2756515841488216E-2</v>
      </c>
      <c r="F96" s="22">
        <v>18307.7</v>
      </c>
      <c r="G96" s="16">
        <f t="shared" si="3"/>
        <v>-2.2888657580233396E-3</v>
      </c>
    </row>
    <row r="97" spans="1:7" ht="28.8" x14ac:dyDescent="0.3">
      <c r="A97" s="8" t="s">
        <v>95</v>
      </c>
      <c r="B97" s="9">
        <v>3904.4</v>
      </c>
      <c r="C97" s="16">
        <f t="shared" si="2"/>
        <v>-1.5854344601851089E-3</v>
      </c>
      <c r="F97" s="22">
        <v>18512.8</v>
      </c>
      <c r="G97" s="16">
        <f t="shared" si="3"/>
        <v>1.1202936469354441E-2</v>
      </c>
    </row>
    <row r="98" spans="1:7" ht="28.8" x14ac:dyDescent="0.3">
      <c r="A98" s="8" t="s">
        <v>96</v>
      </c>
      <c r="B98" s="9">
        <v>4005.8</v>
      </c>
      <c r="C98" s="16">
        <f t="shared" si="2"/>
        <v>2.5970699723389057E-2</v>
      </c>
      <c r="F98" s="22">
        <v>18696.099999999999</v>
      </c>
      <c r="G98" s="16">
        <f t="shared" si="3"/>
        <v>9.9012575083186061E-3</v>
      </c>
    </row>
    <row r="99" spans="1:7" x14ac:dyDescent="0.3">
      <c r="A99" s="8">
        <v>44693</v>
      </c>
      <c r="B99" s="9">
        <v>4002.4</v>
      </c>
      <c r="C99" s="16">
        <f t="shared" si="2"/>
        <v>-8.4876928453747613E-4</v>
      </c>
      <c r="F99" s="22">
        <v>18496.599999999999</v>
      </c>
      <c r="G99" s="16">
        <f t="shared" si="3"/>
        <v>-1.0670674632677457E-2</v>
      </c>
    </row>
    <row r="100" spans="1:7" x14ac:dyDescent="0.3">
      <c r="A100" s="8">
        <v>44907</v>
      </c>
      <c r="B100" s="9">
        <v>3990</v>
      </c>
      <c r="C100" s="16">
        <f t="shared" si="2"/>
        <v>-3.0981411153307992E-3</v>
      </c>
      <c r="F100" s="22">
        <v>18269</v>
      </c>
      <c r="G100" s="16">
        <f t="shared" si="3"/>
        <v>-1.2304964155574472E-2</v>
      </c>
    </row>
    <row r="101" spans="1:7" ht="28.8" x14ac:dyDescent="0.3">
      <c r="A101" s="8" t="s">
        <v>97</v>
      </c>
      <c r="B101" s="9">
        <v>3875.6</v>
      </c>
      <c r="C101" s="16">
        <f t="shared" si="2"/>
        <v>-2.8671679197994959E-2</v>
      </c>
      <c r="F101" s="22">
        <v>17806.8</v>
      </c>
      <c r="G101" s="16">
        <f t="shared" si="3"/>
        <v>-2.5299687996058973E-2</v>
      </c>
    </row>
    <row r="102" spans="1:7" ht="28.8" x14ac:dyDescent="0.3">
      <c r="A102" s="8" t="s">
        <v>98</v>
      </c>
      <c r="B102" s="9">
        <v>4068.8</v>
      </c>
      <c r="C102" s="16">
        <f t="shared" si="2"/>
        <v>4.9850345752915803E-2</v>
      </c>
      <c r="F102" s="22">
        <v>18105.3</v>
      </c>
      <c r="G102" s="16">
        <f t="shared" si="3"/>
        <v>1.6763258979715534E-2</v>
      </c>
    </row>
    <row r="103" spans="1:7" x14ac:dyDescent="0.3">
      <c r="A103" s="8">
        <v>44958</v>
      </c>
      <c r="B103" s="9">
        <v>3842.5</v>
      </c>
      <c r="C103" s="16">
        <f t="shared" si="2"/>
        <v>-5.5618364136846288E-2</v>
      </c>
      <c r="F103" s="22">
        <v>17859.400000000001</v>
      </c>
      <c r="G103" s="16">
        <f t="shared" si="3"/>
        <v>-1.3581658409415942E-2</v>
      </c>
    </row>
    <row r="104" spans="1:7" x14ac:dyDescent="0.3">
      <c r="A104" s="8">
        <v>45170</v>
      </c>
      <c r="B104" s="9">
        <v>3863.7</v>
      </c>
      <c r="C104" s="16">
        <f t="shared" si="2"/>
        <v>5.5172413793103114E-3</v>
      </c>
      <c r="F104" s="22">
        <v>17956.599999999999</v>
      </c>
      <c r="G104" s="16">
        <f t="shared" si="3"/>
        <v>5.4425120664747251E-3</v>
      </c>
    </row>
    <row r="105" spans="1:7" ht="28.8" x14ac:dyDescent="0.3">
      <c r="A105" s="8" t="s">
        <v>99</v>
      </c>
      <c r="B105" s="9">
        <v>3513.8</v>
      </c>
      <c r="C105" s="16">
        <f t="shared" si="2"/>
        <v>-9.0560861350518884E-2</v>
      </c>
      <c r="F105" s="22">
        <v>18027.7</v>
      </c>
      <c r="G105" s="16">
        <f t="shared" si="3"/>
        <v>3.9595469075439649E-3</v>
      </c>
    </row>
    <row r="106" spans="1:7" ht="28.8" x14ac:dyDescent="0.3">
      <c r="A106" s="8" t="s">
        <v>100</v>
      </c>
      <c r="B106" s="9">
        <v>3562.4</v>
      </c>
      <c r="C106" s="16">
        <f t="shared" si="2"/>
        <v>1.3831179919175707E-2</v>
      </c>
      <c r="F106" s="22">
        <v>17604.3</v>
      </c>
      <c r="G106" s="16">
        <f t="shared" si="3"/>
        <v>-2.3486079755043687E-2</v>
      </c>
    </row>
    <row r="107" spans="1:7" ht="28.8" x14ac:dyDescent="0.3">
      <c r="A107" s="8" t="s">
        <v>101</v>
      </c>
      <c r="B107" s="9">
        <v>3470.4</v>
      </c>
      <c r="C107" s="16">
        <f t="shared" si="2"/>
        <v>-2.5825286323826635E-2</v>
      </c>
      <c r="F107" s="22">
        <v>17854.099999999999</v>
      </c>
      <c r="G107" s="16">
        <f t="shared" si="3"/>
        <v>1.4189715012809412E-2</v>
      </c>
    </row>
    <row r="108" spans="1:7" x14ac:dyDescent="0.3">
      <c r="A108" s="8">
        <v>45079</v>
      </c>
      <c r="B108" s="9">
        <v>3498.9</v>
      </c>
      <c r="C108" s="16">
        <f t="shared" si="2"/>
        <v>8.2123098201936084E-3</v>
      </c>
      <c r="F108" s="22">
        <v>17856.5</v>
      </c>
      <c r="G108" s="16">
        <f t="shared" si="3"/>
        <v>1.34422905663234E-4</v>
      </c>
    </row>
    <row r="109" spans="1:7" ht="28.8" x14ac:dyDescent="0.3">
      <c r="A109" s="8" t="s">
        <v>102</v>
      </c>
      <c r="B109" s="9">
        <v>3545</v>
      </c>
      <c r="C109" s="16">
        <f t="shared" si="2"/>
        <v>1.3175569464688897E-2</v>
      </c>
      <c r="F109" s="22">
        <v>17944.2</v>
      </c>
      <c r="G109" s="16">
        <f t="shared" si="3"/>
        <v>4.9113768095652155E-3</v>
      </c>
    </row>
    <row r="110" spans="1:7" ht="28.8" x14ac:dyDescent="0.3">
      <c r="A110" s="8" t="s">
        <v>103</v>
      </c>
      <c r="B110" s="9">
        <v>3552.9</v>
      </c>
      <c r="C110" s="16">
        <f t="shared" si="2"/>
        <v>2.2284908321579255E-3</v>
      </c>
      <c r="F110" s="22">
        <v>17844.599999999999</v>
      </c>
      <c r="G110" s="16">
        <f t="shared" si="3"/>
        <v>-5.5505400073562194E-3</v>
      </c>
    </row>
  </sheetData>
  <mergeCells count="3">
    <mergeCell ref="A3:C3"/>
    <mergeCell ref="F3:G3"/>
    <mergeCell ref="N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prajapti</dc:creator>
  <cp:lastModifiedBy>yash prajapti</cp:lastModifiedBy>
  <dcterms:created xsi:type="dcterms:W3CDTF">2026-08-18T15:18:30Z</dcterms:created>
  <dcterms:modified xsi:type="dcterms:W3CDTF">2026-08-18T15:21:01Z</dcterms:modified>
</cp:coreProperties>
</file>