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aebfcc23394406/Desktop/project 2/"/>
    </mc:Choice>
  </mc:AlternateContent>
  <xr:revisionPtr revIDLastSave="0" documentId="8_{7FF2E863-919C-45B6-A07B-B64C13C66D3D}" xr6:coauthVersionLast="47" xr6:coauthVersionMax="47" xr10:uidLastSave="{00000000-0000-0000-0000-000000000000}"/>
  <bookViews>
    <workbookView xWindow="-108" yWindow="-108" windowWidth="23256" windowHeight="13896" xr2:uid="{12557278-4C91-4F20-AD90-C6ED3C068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1" l="1"/>
  <c r="C38" i="1"/>
  <c r="L37" i="1"/>
  <c r="D37" i="1"/>
  <c r="L36" i="1"/>
  <c r="D36" i="1"/>
  <c r="D38" i="1" s="1"/>
  <c r="E38" i="1" s="1"/>
  <c r="E37" i="1" s="1"/>
  <c r="L46" i="1" s="1"/>
  <c r="G28" i="1"/>
  <c r="K45" i="1" s="1"/>
  <c r="L20" i="1"/>
  <c r="I20" i="1"/>
  <c r="L18" i="1"/>
  <c r="I18" i="1"/>
  <c r="K15" i="1"/>
  <c r="J15" i="1"/>
  <c r="M15" i="1" s="1"/>
  <c r="L35" i="1" s="1"/>
  <c r="L38" i="1" s="1"/>
  <c r="K28" i="1" s="1"/>
  <c r="K29" i="1" s="1"/>
  <c r="K46" i="1" s="1"/>
  <c r="K14" i="1"/>
  <c r="J14" i="1"/>
  <c r="M14" i="1" s="1"/>
  <c r="K13" i="1"/>
  <c r="J13" i="1"/>
  <c r="M13" i="1" s="1"/>
  <c r="K12" i="1"/>
  <c r="J12" i="1"/>
  <c r="M12" i="1" s="1"/>
  <c r="K11" i="1"/>
  <c r="J11" i="1"/>
  <c r="K20" i="1" l="1"/>
  <c r="K18" i="1"/>
  <c r="J20" i="1"/>
  <c r="J18" i="1"/>
  <c r="M11" i="1"/>
  <c r="K47" i="1"/>
  <c r="M18" i="1" l="1"/>
  <c r="M20" i="1"/>
</calcChain>
</file>

<file path=xl/sharedStrings.xml><?xml version="1.0" encoding="utf-8"?>
<sst xmlns="http://schemas.openxmlformats.org/spreadsheetml/2006/main" count="51" uniqueCount="43">
  <si>
    <t>Weighted Average Cost Of Capital</t>
  </si>
  <si>
    <t>All figure are in INR unless stated</t>
  </si>
  <si>
    <t>Peer Comps</t>
  </si>
  <si>
    <t>Name</t>
  </si>
  <si>
    <t>Country</t>
  </si>
  <si>
    <t>Total Debt</t>
  </si>
  <si>
    <t>Total Equity</t>
  </si>
  <si>
    <t xml:space="preserve"> Tax Rate 1</t>
  </si>
  <si>
    <t>Debt/Equity</t>
  </si>
  <si>
    <t>Debt/Capital</t>
  </si>
  <si>
    <t>Levered Beta 2</t>
  </si>
  <si>
    <t>Unlevered Beta 3</t>
  </si>
  <si>
    <t>Hind. Unilever</t>
  </si>
  <si>
    <t>India</t>
  </si>
  <si>
    <t>Nestle India</t>
  </si>
  <si>
    <t>Britannia Inds.</t>
  </si>
  <si>
    <t>Godrej Consumer</t>
  </si>
  <si>
    <t>Dabur India</t>
  </si>
  <si>
    <t>Average</t>
  </si>
  <si>
    <t>Median</t>
  </si>
  <si>
    <t>Cost Of Debt</t>
  </si>
  <si>
    <t>Cost of Equity</t>
  </si>
  <si>
    <t>Pre-Tax Cost of Debt</t>
  </si>
  <si>
    <t>Risk Free Rate</t>
  </si>
  <si>
    <t>Tax rate</t>
  </si>
  <si>
    <t>Equity Risk Premium</t>
  </si>
  <si>
    <t>Post-tax Cost of Debt</t>
  </si>
  <si>
    <t>Levered Beta 4</t>
  </si>
  <si>
    <t>Capital Structure</t>
  </si>
  <si>
    <t>Levered Beta</t>
  </si>
  <si>
    <t>Current</t>
  </si>
  <si>
    <t>Target</t>
  </si>
  <si>
    <t>Comps Median Unlevered Beta</t>
  </si>
  <si>
    <t>Target Debt/ Equity</t>
  </si>
  <si>
    <t>Market Capitilization</t>
  </si>
  <si>
    <t>Tax Rate</t>
  </si>
  <si>
    <t>Total Capitilization</t>
  </si>
  <si>
    <t>Weighted Average Cost of Capital</t>
  </si>
  <si>
    <t>Total Cost</t>
  </si>
  <si>
    <t>Total Weight</t>
  </si>
  <si>
    <t>Debt Capital</t>
  </si>
  <si>
    <t>Equity capital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</si>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</sst>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3333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/>
    <xf numFmtId="0" fontId="2" fillId="0" borderId="1" xfId="0" applyFont="1" applyBorder="1"/>
    <xf numFmtId="0" fontId="0" fillId="0" borderId="1" xfId="0" applyBorder="1"/>
    <xf numFmtId="0" fontId="3" fillId="0" borderId="0" xfId="0" applyFont="1" applyAlignment="1">
      <alignment wrapText="1"/>
    </xf>
    <xf numFmtId="0" fontId="3" fillId="0" borderId="0" xfId="0" applyFont="1"/>
    <xf numFmtId="164" fontId="3" fillId="0" borderId="0" xfId="1" applyNumberFormat="1" applyFont="1"/>
    <xf numFmtId="43" fontId="3" fillId="0" borderId="0" xfId="1" applyFont="1"/>
    <xf numFmtId="10" fontId="3" fillId="0" borderId="0" xfId="0" applyNumberFormat="1" applyFont="1" applyAlignment="1">
      <alignment horizontal="right" vertical="top" wrapText="1"/>
    </xf>
    <xf numFmtId="10" fontId="0" fillId="3" borderId="0" xfId="0" applyNumberFormat="1" applyFill="1" applyAlignment="1">
      <alignment horizontal="right" wrapText="1"/>
    </xf>
    <xf numFmtId="10" fontId="0" fillId="0" borderId="0" xfId="2" applyNumberFormat="1" applyFont="1"/>
    <xf numFmtId="0" fontId="3" fillId="0" borderId="0" xfId="0" applyFont="1" applyAlignment="1">
      <alignment horizontal="right" wrapText="1"/>
    </xf>
    <xf numFmtId="2" fontId="0" fillId="0" borderId="0" xfId="0" applyNumberFormat="1"/>
    <xf numFmtId="4" fontId="3" fillId="0" borderId="0" xfId="0" applyNumberFormat="1" applyFont="1" applyAlignment="1">
      <alignment horizontal="right" wrapText="1"/>
    </xf>
    <xf numFmtId="0" fontId="2" fillId="0" borderId="2" xfId="0" applyFont="1" applyBorder="1"/>
    <xf numFmtId="10" fontId="0" fillId="4" borderId="2" xfId="0" applyNumberFormat="1" applyFill="1" applyBorder="1"/>
    <xf numFmtId="2" fontId="0" fillId="4" borderId="2" xfId="0" applyNumberFormat="1" applyFill="1" applyBorder="1"/>
    <xf numFmtId="10" fontId="0" fillId="4" borderId="1" xfId="0" applyNumberFormat="1" applyFill="1" applyBorder="1"/>
    <xf numFmtId="2" fontId="0" fillId="4" borderId="1" xfId="0" applyNumberFormat="1" applyFill="1" applyBorder="1"/>
    <xf numFmtId="10" fontId="0" fillId="0" borderId="0" xfId="0" applyNumberFormat="1"/>
    <xf numFmtId="10" fontId="3" fillId="0" borderId="0" xfId="0" applyNumberFormat="1" applyFont="1" applyAlignment="1">
      <alignment horizontal="right" wrapText="1"/>
    </xf>
    <xf numFmtId="0" fontId="0" fillId="0" borderId="3" xfId="0" applyBorder="1"/>
    <xf numFmtId="9" fontId="0" fillId="0" borderId="3" xfId="0" applyNumberFormat="1" applyBorder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0" fontId="0" fillId="4" borderId="0" xfId="0" applyNumberFormat="1" applyFill="1"/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wrapText="1"/>
    </xf>
    <xf numFmtId="2" fontId="0" fillId="0" borderId="3" xfId="0" applyNumberFormat="1" applyBorder="1"/>
    <xf numFmtId="10" fontId="3" fillId="0" borderId="0" xfId="0" applyNumberFormat="1" applyFont="1"/>
    <xf numFmtId="43" fontId="3" fillId="0" borderId="3" xfId="1" applyFont="1" applyBorder="1"/>
    <xf numFmtId="10" fontId="0" fillId="0" borderId="3" xfId="2" applyNumberFormat="1" applyFont="1" applyBorder="1"/>
    <xf numFmtId="10" fontId="0" fillId="0" borderId="3" xfId="0" applyNumberFormat="1" applyBorder="1"/>
    <xf numFmtId="43" fontId="0" fillId="0" borderId="0" xfId="0" applyNumberFormat="1"/>
    <xf numFmtId="0" fontId="2" fillId="0" borderId="4" xfId="0" applyFont="1" applyBorder="1" applyAlignment="1">
      <alignment vertical="center"/>
    </xf>
    <xf numFmtId="0" fontId="0" fillId="0" borderId="4" xfId="0" applyBorder="1" applyAlignment="1">
      <alignment wrapText="1"/>
    </xf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1736-AF53-4F45-BF42-7732C770B0EF}">
  <dimension ref="A1:N47"/>
  <sheetViews>
    <sheetView tabSelected="1" workbookViewId="0">
      <selection activeCell="G5" sqref="G5"/>
    </sheetView>
  </sheetViews>
  <sheetFormatPr defaultRowHeight="14.4" x14ac:dyDescent="0.3"/>
  <cols>
    <col min="2" max="2" width="13.109375" customWidth="1"/>
    <col min="3" max="3" width="13.33203125" customWidth="1"/>
    <col min="8" max="8" width="12.21875" customWidth="1"/>
    <col min="12" max="12" width="12.109375" customWidth="1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</row>
    <row r="3" spans="1:14" x14ac:dyDescent="0.3">
      <c r="A3" s="36" t="s">
        <v>1</v>
      </c>
      <c r="B3" s="36"/>
      <c r="C3" s="36"/>
    </row>
    <row r="6" spans="1:14" ht="15" thickBot="1" x14ac:dyDescent="0.35">
      <c r="A6" s="2" t="s">
        <v>2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8" spans="1:14" ht="15" thickBot="1" x14ac:dyDescent="0.35">
      <c r="A8" s="2" t="s">
        <v>3</v>
      </c>
      <c r="B8" s="2"/>
      <c r="C8" s="2"/>
      <c r="D8" s="2" t="s">
        <v>4</v>
      </c>
      <c r="E8" s="2"/>
      <c r="F8" s="2"/>
      <c r="G8" s="2" t="s">
        <v>5</v>
      </c>
      <c r="H8" s="2" t="s">
        <v>6</v>
      </c>
      <c r="I8" s="2" t="s">
        <v>7</v>
      </c>
      <c r="J8" s="2" t="s">
        <v>8</v>
      </c>
      <c r="K8" s="2" t="s">
        <v>9</v>
      </c>
      <c r="L8" s="2" t="s">
        <v>10</v>
      </c>
      <c r="M8" s="2" t="s">
        <v>11</v>
      </c>
      <c r="N8" s="3"/>
    </row>
    <row r="11" spans="1:14" ht="28.8" x14ac:dyDescent="0.3">
      <c r="A11" s="4" t="s">
        <v>12</v>
      </c>
      <c r="D11" s="5" t="s">
        <v>13</v>
      </c>
      <c r="G11" s="6">
        <v>1139</v>
      </c>
      <c r="H11" s="7">
        <v>611503.9</v>
      </c>
      <c r="I11" s="8">
        <v>0.3</v>
      </c>
      <c r="J11" s="9">
        <f>G11/H11</f>
        <v>1.8626209906429051E-3</v>
      </c>
      <c r="K11" s="10">
        <f>G11/(G11+H11)</f>
        <v>1.8591580837711494E-3</v>
      </c>
      <c r="L11" s="11">
        <v>1</v>
      </c>
      <c r="M11" s="12">
        <f>L11/(1+(1-I11)*J11)</f>
        <v>0.99869786307784481</v>
      </c>
    </row>
    <row r="12" spans="1:14" ht="28.8" x14ac:dyDescent="0.3">
      <c r="A12" s="4" t="s">
        <v>14</v>
      </c>
      <c r="D12" s="5" t="s">
        <v>13</v>
      </c>
      <c r="G12" s="6">
        <v>279.89999999999998</v>
      </c>
      <c r="H12" s="13">
        <v>182975</v>
      </c>
      <c r="I12" s="8">
        <v>0.3</v>
      </c>
      <c r="J12" s="9">
        <f t="shared" ref="J12:J15" si="0">G12/H12</f>
        <v>1.5297171744773875E-3</v>
      </c>
      <c r="K12" s="10">
        <f t="shared" ref="K12:K15" si="1">G12/(G12+H12)</f>
        <v>1.5273807139672662E-3</v>
      </c>
      <c r="L12" s="11">
        <v>1</v>
      </c>
      <c r="M12" s="12">
        <f t="shared" ref="M12:M15" si="2">L12/(1+(1-I12)*J12)</f>
        <v>0.99893034336834996</v>
      </c>
    </row>
    <row r="13" spans="1:14" ht="28.8" x14ac:dyDescent="0.3">
      <c r="A13" s="4" t="s">
        <v>15</v>
      </c>
      <c r="D13" s="5" t="s">
        <v>13</v>
      </c>
      <c r="G13" s="6">
        <v>3037.7</v>
      </c>
      <c r="H13" s="13">
        <v>110690</v>
      </c>
      <c r="I13" s="8">
        <v>0.3</v>
      </c>
      <c r="J13" s="9">
        <f t="shared" si="0"/>
        <v>2.7443310145451257E-2</v>
      </c>
      <c r="K13" s="10">
        <f t="shared" si="1"/>
        <v>2.6710291336235585E-2</v>
      </c>
      <c r="L13" s="11">
        <v>1</v>
      </c>
      <c r="M13" s="12">
        <f t="shared" si="2"/>
        <v>0.98115176349819389</v>
      </c>
    </row>
    <row r="14" spans="1:14" ht="43.2" x14ac:dyDescent="0.3">
      <c r="A14" s="4" t="s">
        <v>16</v>
      </c>
      <c r="D14" s="5" t="s">
        <v>13</v>
      </c>
      <c r="G14" s="7">
        <v>1164.46</v>
      </c>
      <c r="H14" s="13">
        <v>96256.4</v>
      </c>
      <c r="I14" s="8">
        <v>0.3</v>
      </c>
      <c r="J14" s="9">
        <f t="shared" si="0"/>
        <v>1.2097481310333651E-2</v>
      </c>
      <c r="K14" s="10">
        <f t="shared" si="1"/>
        <v>1.195288154918772E-2</v>
      </c>
      <c r="L14" s="11">
        <v>1</v>
      </c>
      <c r="M14" s="12">
        <f t="shared" si="2"/>
        <v>0.99160287195249708</v>
      </c>
    </row>
    <row r="15" spans="1:14" ht="28.8" x14ac:dyDescent="0.3">
      <c r="A15" s="4" t="s">
        <v>17</v>
      </c>
      <c r="D15" s="5" t="s">
        <v>13</v>
      </c>
      <c r="G15" s="6">
        <v>1068.0999999999999</v>
      </c>
      <c r="H15" s="13">
        <v>94940.4</v>
      </c>
      <c r="I15" s="8">
        <v>0.3</v>
      </c>
      <c r="J15" s="9">
        <f t="shared" si="0"/>
        <v>1.1250215924938172E-2</v>
      </c>
      <c r="K15" s="10">
        <f t="shared" si="1"/>
        <v>1.1125056635610388E-2</v>
      </c>
      <c r="L15" s="11">
        <v>1</v>
      </c>
      <c r="M15" s="12">
        <f t="shared" si="2"/>
        <v>0.9921863822731507</v>
      </c>
    </row>
    <row r="18" spans="1:13" x14ac:dyDescent="0.3">
      <c r="H18" s="14" t="s">
        <v>18</v>
      </c>
      <c r="I18" s="15">
        <f>AVERAGE(I11:I15)</f>
        <v>0.3</v>
      </c>
      <c r="J18" s="15">
        <f>AVERAGE(J11:J15)</f>
        <v>1.0836669109168676E-2</v>
      </c>
      <c r="K18" s="15">
        <f t="shared" ref="K18:M18" si="3">AVERAGE(K11:K15)</f>
        <v>1.063495366375442E-2</v>
      </c>
      <c r="L18" s="16">
        <f t="shared" si="3"/>
        <v>1</v>
      </c>
      <c r="M18" s="16">
        <f t="shared" si="3"/>
        <v>0.99251384483400729</v>
      </c>
    </row>
    <row r="20" spans="1:13" ht="15" thickBot="1" x14ac:dyDescent="0.35">
      <c r="H20" s="2" t="s">
        <v>19</v>
      </c>
      <c r="I20" s="17">
        <f>MEDIAN(I11:I15)</f>
        <v>0.3</v>
      </c>
      <c r="J20" s="17">
        <f t="shared" ref="J20:M20" si="4">MEDIAN(J11:J15)</f>
        <v>1.1250215924938172E-2</v>
      </c>
      <c r="K20" s="17">
        <f t="shared" si="4"/>
        <v>1.1125056635610388E-2</v>
      </c>
      <c r="L20" s="18">
        <f t="shared" si="4"/>
        <v>1</v>
      </c>
      <c r="M20" s="18">
        <f t="shared" si="4"/>
        <v>0.9921863822731507</v>
      </c>
    </row>
    <row r="24" spans="1:13" ht="15" thickBot="1" x14ac:dyDescent="0.35">
      <c r="A24" s="2" t="s">
        <v>20</v>
      </c>
      <c r="B24" s="3"/>
      <c r="C24" s="3"/>
      <c r="D24" s="3"/>
      <c r="E24" s="3"/>
      <c r="F24" s="3"/>
      <c r="G24" s="3"/>
      <c r="H24" s="3"/>
      <c r="I24" s="2" t="s">
        <v>21</v>
      </c>
      <c r="J24" s="3"/>
      <c r="K24" s="3"/>
      <c r="L24" s="3"/>
      <c r="M24" s="3"/>
    </row>
    <row r="26" spans="1:13" x14ac:dyDescent="0.3">
      <c r="A26" t="s">
        <v>22</v>
      </c>
      <c r="G26" s="19">
        <v>8.4000000000000005E-2</v>
      </c>
      <c r="I26" t="s">
        <v>23</v>
      </c>
      <c r="K26" s="20">
        <v>6.5000000000000002E-2</v>
      </c>
    </row>
    <row r="27" spans="1:13" x14ac:dyDescent="0.3">
      <c r="A27" t="s">
        <v>24</v>
      </c>
      <c r="B27" s="21"/>
      <c r="C27" s="21"/>
      <c r="D27" s="21"/>
      <c r="E27" s="21"/>
      <c r="F27" s="21"/>
      <c r="G27" s="22">
        <v>0.3</v>
      </c>
      <c r="I27" s="23" t="s">
        <v>25</v>
      </c>
      <c r="J27" s="24"/>
      <c r="K27" s="20">
        <v>0.08</v>
      </c>
    </row>
    <row r="28" spans="1:13" x14ac:dyDescent="0.3">
      <c r="A28" t="s">
        <v>26</v>
      </c>
      <c r="G28" s="25">
        <f>G26*(1-G27)</f>
        <v>5.8799999999999998E-2</v>
      </c>
      <c r="I28" s="26" t="s">
        <v>27</v>
      </c>
      <c r="J28" s="27"/>
      <c r="K28" s="28">
        <f>L38</f>
        <v>1.5055138508698107</v>
      </c>
      <c r="L28" s="21"/>
      <c r="M28" s="21"/>
    </row>
    <row r="29" spans="1:13" x14ac:dyDescent="0.3">
      <c r="I29" t="s">
        <v>21</v>
      </c>
      <c r="K29" s="10">
        <f>K26+(K27*K28)</f>
        <v>0.18544110806958486</v>
      </c>
    </row>
    <row r="32" spans="1:13" ht="15" thickBot="1" x14ac:dyDescent="0.35">
      <c r="A32" s="2" t="s">
        <v>28</v>
      </c>
      <c r="B32" s="3"/>
      <c r="C32" s="3"/>
      <c r="D32" s="3"/>
      <c r="E32" s="3"/>
      <c r="F32" s="3"/>
      <c r="I32" s="2" t="s">
        <v>29</v>
      </c>
      <c r="J32" s="3"/>
      <c r="K32" s="3"/>
      <c r="L32" s="3"/>
      <c r="M32" s="3"/>
    </row>
    <row r="35" spans="1:13" ht="15" thickBot="1" x14ac:dyDescent="0.35">
      <c r="C35" s="3"/>
      <c r="D35" s="2" t="s">
        <v>30</v>
      </c>
      <c r="E35" s="2" t="s">
        <v>31</v>
      </c>
      <c r="I35" s="23" t="s">
        <v>32</v>
      </c>
      <c r="J35" s="24"/>
      <c r="K35" s="24"/>
      <c r="L35" s="12">
        <f>M15</f>
        <v>0.9921863822731507</v>
      </c>
    </row>
    <row r="36" spans="1:13" x14ac:dyDescent="0.3">
      <c r="A36" t="s">
        <v>5</v>
      </c>
      <c r="C36" s="7">
        <v>17440</v>
      </c>
      <c r="D36" s="10">
        <f>C36/C38</f>
        <v>0.35087013378935722</v>
      </c>
      <c r="E36" s="29">
        <v>0.42499999999999999</v>
      </c>
      <c r="I36" s="23" t="s">
        <v>33</v>
      </c>
      <c r="J36" s="24"/>
      <c r="K36" s="24"/>
      <c r="L36" s="19">
        <f>E40</f>
        <v>0.73909999999999998</v>
      </c>
    </row>
    <row r="37" spans="1:13" x14ac:dyDescent="0.3">
      <c r="A37" t="s">
        <v>34</v>
      </c>
      <c r="B37" s="21"/>
      <c r="C37" s="30">
        <v>32265</v>
      </c>
      <c r="D37" s="31">
        <f>C37/C38</f>
        <v>0.64912986621064284</v>
      </c>
      <c r="E37" s="32">
        <f>E38-E36</f>
        <v>0.57499999999999996</v>
      </c>
      <c r="I37" s="27" t="s">
        <v>35</v>
      </c>
      <c r="J37" s="27"/>
      <c r="K37" s="27"/>
      <c r="L37" s="22">
        <f>G27</f>
        <v>0.3</v>
      </c>
      <c r="M37" s="21"/>
    </row>
    <row r="38" spans="1:13" x14ac:dyDescent="0.3">
      <c r="A38" t="s">
        <v>36</v>
      </c>
      <c r="C38" s="33">
        <f>SUM(C36,C37)</f>
        <v>49705</v>
      </c>
      <c r="D38" s="19">
        <f>SUM(D36,D37)</f>
        <v>1</v>
      </c>
      <c r="E38" s="19">
        <f>D38</f>
        <v>1</v>
      </c>
      <c r="I38" t="s">
        <v>29</v>
      </c>
      <c r="L38" s="12">
        <f>L35*(1+(1-L37)*L36)</f>
        <v>1.5055138508698107</v>
      </c>
    </row>
    <row r="40" spans="1:13" x14ac:dyDescent="0.3">
      <c r="A40" t="s">
        <v>8</v>
      </c>
      <c r="D40" s="9">
        <v>0.54049999999999998</v>
      </c>
      <c r="E40" s="9">
        <v>0.73909999999999998</v>
      </c>
    </row>
    <row r="42" spans="1:13" ht="15" thickBot="1" x14ac:dyDescent="0.35">
      <c r="I42" s="34" t="s">
        <v>37</v>
      </c>
      <c r="J42" s="35"/>
      <c r="K42" s="35"/>
      <c r="L42" s="35"/>
    </row>
    <row r="44" spans="1:13" x14ac:dyDescent="0.3">
      <c r="K44" t="s">
        <v>38</v>
      </c>
      <c r="L44" t="s">
        <v>39</v>
      </c>
    </row>
    <row r="45" spans="1:13" x14ac:dyDescent="0.3">
      <c r="I45" t="s">
        <v>40</v>
      </c>
      <c r="K45" s="19">
        <f>G28</f>
        <v>5.8799999999999998E-2</v>
      </c>
      <c r="L45" s="19">
        <f>E36</f>
        <v>0.42499999999999999</v>
      </c>
    </row>
    <row r="46" spans="1:13" x14ac:dyDescent="0.3">
      <c r="I46" s="21" t="s">
        <v>41</v>
      </c>
      <c r="J46" s="21"/>
      <c r="K46" s="31">
        <f>K29</f>
        <v>0.18544110806958486</v>
      </c>
      <c r="L46" s="32">
        <f>E37</f>
        <v>0.57499999999999996</v>
      </c>
    </row>
    <row r="47" spans="1:13" x14ac:dyDescent="0.3">
      <c r="I47" t="s">
        <v>42</v>
      </c>
      <c r="K47" s="10">
        <f>SUMPRODUCT(K45:K46,L45:L46)</f>
        <v>0.13161863714001129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prajapti</dc:creator>
  <cp:lastModifiedBy>yash prajapti</cp:lastModifiedBy>
  <dcterms:created xsi:type="dcterms:W3CDTF">2026-08-18T15:24:44Z</dcterms:created>
  <dcterms:modified xsi:type="dcterms:W3CDTF">2026-08-18T15:25:40Z</dcterms:modified>
</cp:coreProperties>
</file>